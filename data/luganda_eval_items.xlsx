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vmlDrawing1.vml" ContentType="application/vnd.openxmlformats-officedocument.vmlDrawing"/>
  <Override PartName="/xl/comments5.xml" ContentType="application/vnd.openxmlformats-officedocument.spreadsheetml.comment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minimal_pairs" sheetId="2" state="visible" r:id="rId4"/>
    <sheet name="paragraphs" sheetId="3" state="visible" r:id="rId5"/>
    <sheet name="variation" sheetId="4" state="visible" r:id="rId6"/>
    <sheet name="progress" sheetId="5" state="visible" r:id="rId7"/>
  </sheets>
  <definedNames>
    <definedName function="false" hidden="true" localSheetId="1" name="_xlnm._FilterDatabase" vbProcedure="false">minimal_pairs!$A$1:$L$201</definedName>
    <definedName function="false" hidden="true" localSheetId="2" name="_xlnm._FilterDatabase" vbProcedure="false">paragraphs!$A$1:$L$31</definedName>
    <definedName function="false" hidden="true" localSheetId="3" name="_xlnm._FilterDatabase" vbProcedure="false">variation!$A$1:$K$21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5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1" authorId="0">
      <text>
        <r>
          <rPr>
            <sz val="10"/>
            <rFont val="Arial"/>
            <family val="2"/>
          </rPr>
          <t xml:space="preserve">Counts update when you change STATUS in the other sheets.</t>
        </r>
      </text>
    </comment>
  </commentList>
</comments>
</file>

<file path=xl/sharedStrings.xml><?xml version="1.0" encoding="utf-8"?>
<sst xmlns="http://schemas.openxmlformats.org/spreadsheetml/2006/main" count="2081" uniqueCount="1279">
  <si>
    <t xml:space="preserve">Luganda evaluation items: draft for native-speaker validation</t>
  </si>
  <si>
    <t xml:space="preserve">Claude wrote all items in this workbook. Claude is not a native speaker, so the items can contain errors.</t>
  </si>
  <si>
    <t xml:space="preserve">The evaluation notebooks use only the rows with STATUS = OK or FIXED.</t>
  </si>
  <si>
    <t xml:space="preserve">How to validate</t>
  </si>
  <si>
    <t xml:space="preserve">1. Read each row. Edit only the yellow columns.</t>
  </si>
  <si>
    <t xml:space="preserve">2. Set STATUS: OK = the row is correct as written. FIXED = you wrote a correction. DROP = do not use the row.</t>
  </si>
  <si>
    <t xml:space="preserve">3. For FIXED: write the corrected text in the fixed_* columns. Leave a fixed_* column empty if that part is correct.</t>
  </si>
  <si>
    <t xml:space="preserve">4. For minimal pairs: the correct and the wrong sentence must differ in ONE morpheme only. The wrong sentence must be ungrammatical.</t>
  </si>
  <si>
    <t xml:space="preserve">5. Use validator_note for any comment (for example, a dialect form, or a second correct reading).</t>
  </si>
  <si>
    <t xml:space="preserve">6. Do not change the id column. Do not rename the sheets or the column headers.</t>
  </si>
  <si>
    <t xml:space="preserve">Columns</t>
  </si>
  <si>
    <t xml:space="preserve">my_confidence: how sure Claude is about the Luganda (high / medium / low). Check the low and medium rows first.</t>
  </si>
  <si>
    <t xml:space="preserve">changed_morpheme: the morpheme that is different in the wrong sentence.</t>
  </si>
  <si>
    <t xml:space="preserve">Example row: NC-001. Correct: 'Ekitabo ekinene kiri ku mmeeza.' Wrong: 'Ekitabo ennene kiri ku mmeeza.' The adjective has the cl9 prefix, but ekitabo is cl7.</t>
  </si>
  <si>
    <t xml:space="preserve">Sheets</t>
  </si>
  <si>
    <t xml:space="preserve">minimal_pairs: 200 pairs, 50 for each error type (noun_class_agreement, subject_object_marker, tense_aspect, negation).</t>
  </si>
  <si>
    <t xml:space="preserve">paragraphs: 30 short paragraphs. The switched version uses a different noun class for the same referent in the last sentence.</t>
  </si>
  <si>
    <t xml:space="preserve">variation: 20 items with two forms that a speaker accepts. The model must not mark either form as wrong.</t>
  </si>
  <si>
    <t xml:space="preserve">progress: counts of STATUS for each sheet and each error type (formulas, updated automatically).</t>
  </si>
  <si>
    <t xml:space="preserve">id</t>
  </si>
  <si>
    <t xml:space="preserve">error_type</t>
  </si>
  <si>
    <t xml:space="preserve">correct</t>
  </si>
  <si>
    <t xml:space="preserve">wrong</t>
  </si>
  <si>
    <t xml:space="preserve">english</t>
  </si>
  <si>
    <t xml:space="preserve">changed_morpheme</t>
  </si>
  <si>
    <t xml:space="preserve">note</t>
  </si>
  <si>
    <t xml:space="preserve">my_confidence</t>
  </si>
  <si>
    <t xml:space="preserve">STATUS</t>
  </si>
  <si>
    <t xml:space="preserve">fixed_correct</t>
  </si>
  <si>
    <t xml:space="preserve">fixed_wrong</t>
  </si>
  <si>
    <t xml:space="preserve">validator_note</t>
  </si>
  <si>
    <t xml:space="preserve">NC-001</t>
  </si>
  <si>
    <t xml:space="preserve">noun_class_agreement</t>
  </si>
  <si>
    <t xml:space="preserve">Ekitabo ekinene kiri ku mmeeza.</t>
  </si>
  <si>
    <t xml:space="preserve">Ekitabo ennene kiri ku mmeeza.</t>
  </si>
  <si>
    <t xml:space="preserve">The big book is on the table.</t>
  </si>
  <si>
    <t xml:space="preserve">eki- → en- (cl7 → cl9 adjective)</t>
  </si>
  <si>
    <t xml:space="preserve">high</t>
  </si>
  <si>
    <t xml:space="preserve">TODO</t>
  </si>
  <si>
    <t xml:space="preserve">NC-002</t>
  </si>
  <si>
    <t xml:space="preserve">Ebitabo ebinene biri ku mmeeza.</t>
  </si>
  <si>
    <t xml:space="preserve">Ebitabo amanene biri ku mmeeza.</t>
  </si>
  <si>
    <t xml:space="preserve">The big books are on the table.</t>
  </si>
  <si>
    <t xml:space="preserve">ebi- → ama- (cl8 → cl6)</t>
  </si>
  <si>
    <t xml:space="preserve">NC-003</t>
  </si>
  <si>
    <t xml:space="preserve">Omusajja omunene ali mu nnyumba.</t>
  </si>
  <si>
    <t xml:space="preserve">Omusajja ekinene ali mu nnyumba.</t>
  </si>
  <si>
    <t xml:space="preserve">The big man is in the house.</t>
  </si>
  <si>
    <t xml:space="preserve">omu- → eki- (cl1 → cl7)</t>
  </si>
  <si>
    <t xml:space="preserve">NC-004</t>
  </si>
  <si>
    <t xml:space="preserve">Abasajja abanene bali mu nnyumba.</t>
  </si>
  <si>
    <t xml:space="preserve">Abasajja omunene bali mu nnyumba.</t>
  </si>
  <si>
    <t xml:space="preserve">The big men are in the house.</t>
  </si>
  <si>
    <t xml:space="preserve">aba- → omu- (cl2 → cl1)</t>
  </si>
  <si>
    <t xml:space="preserve">NC-005</t>
  </si>
  <si>
    <t xml:space="preserve">Omuti omunene guli mu nnimiro.</t>
  </si>
  <si>
    <t xml:space="preserve">Omuti ekinene guli mu nnimiro.</t>
  </si>
  <si>
    <t xml:space="preserve">The big tree is in the garden.</t>
  </si>
  <si>
    <t xml:space="preserve">omu- → eki- (cl3 → cl7)</t>
  </si>
  <si>
    <t xml:space="preserve">NC-006</t>
  </si>
  <si>
    <t xml:space="preserve">Emiti eminene giri mu nnimiro.</t>
  </si>
  <si>
    <t xml:space="preserve">Emiti ebinene giri mu nnimiro.</t>
  </si>
  <si>
    <t xml:space="preserve">The big trees are in the garden.</t>
  </si>
  <si>
    <t xml:space="preserve">emi- → ebi- (cl4 → cl8)</t>
  </si>
  <si>
    <t xml:space="preserve">NC-007</t>
  </si>
  <si>
    <t xml:space="preserve">Ennyumba ennene eri ku lusozi.</t>
  </si>
  <si>
    <t xml:space="preserve">Ennyumba ekinene eri ku lusozi.</t>
  </si>
  <si>
    <t xml:space="preserve">The big house is on the hill.</t>
  </si>
  <si>
    <t xml:space="preserve">en- → eki- (cl9 → cl7)</t>
  </si>
  <si>
    <t xml:space="preserve">NC-008</t>
  </si>
  <si>
    <t xml:space="preserve">Ejjinja eddene liri ku kkubo.</t>
  </si>
  <si>
    <t xml:space="preserve">Ejjinja ennene liri ku kkubo.</t>
  </si>
  <si>
    <t xml:space="preserve">The big stone is on the road.</t>
  </si>
  <si>
    <t xml:space="preserve">eri- (eddene) → en- (cl5 → cl9)</t>
  </si>
  <si>
    <t xml:space="preserve">Check the cl5 form eddene.</t>
  </si>
  <si>
    <t xml:space="preserve">medium</t>
  </si>
  <si>
    <t xml:space="preserve">NC-009</t>
  </si>
  <si>
    <t xml:space="preserve">Amayinja amanene gali ku kkubo.</t>
  </si>
  <si>
    <t xml:space="preserve">Amayinja ebinene gali ku kkubo.</t>
  </si>
  <si>
    <t xml:space="preserve">The big stones are on the road.</t>
  </si>
  <si>
    <t xml:space="preserve">ama- → ebi- (cl6 → cl8)</t>
  </si>
  <si>
    <t xml:space="preserve">NC-010</t>
  </si>
  <si>
    <t xml:space="preserve">Olutindo olunene luli ku mugga.</t>
  </si>
  <si>
    <t xml:space="preserve">Olutindo ekinene luli ku mugga.</t>
  </si>
  <si>
    <t xml:space="preserve">The big bridge is on the river.</t>
  </si>
  <si>
    <t xml:space="preserve">olu- → eki- (cl11 → cl7)</t>
  </si>
  <si>
    <t xml:space="preserve">NC-011</t>
  </si>
  <si>
    <t xml:space="preserve">Akambe akatono kali ku mmeeza.</t>
  </si>
  <si>
    <t xml:space="preserve">Akambe ekitono kali ku mmeeza.</t>
  </si>
  <si>
    <t xml:space="preserve">The small knife is on the table.</t>
  </si>
  <si>
    <t xml:space="preserve">aka- → eki- (cl12 → cl7)</t>
  </si>
  <si>
    <t xml:space="preserve">NC-012</t>
  </si>
  <si>
    <t xml:space="preserve">Omwana omulungi ali ku ssomero.</t>
  </si>
  <si>
    <t xml:space="preserve">Omwana ekirungi ali ku ssomero.</t>
  </si>
  <si>
    <t xml:space="preserve">The good child is at school.</t>
  </si>
  <si>
    <t xml:space="preserve">NC-013</t>
  </si>
  <si>
    <t xml:space="preserve">Abaana abalungi bali ku ssomero.</t>
  </si>
  <si>
    <t xml:space="preserve">Abaana ebirungi bali ku ssomero.</t>
  </si>
  <si>
    <t xml:space="preserve">The good children are at school.</t>
  </si>
  <si>
    <t xml:space="preserve">aba- → ebi- (cl2 → cl8)</t>
  </si>
  <si>
    <t xml:space="preserve">NC-014</t>
  </si>
  <si>
    <t xml:space="preserve">Ekikopo ekitono kiri mu ffumbiro.</t>
  </si>
  <si>
    <t xml:space="preserve">Ekikopo akatono kiri mu ffumbiro.</t>
  </si>
  <si>
    <t xml:space="preserve">The small cup is in the kitchen.</t>
  </si>
  <si>
    <t xml:space="preserve">eki- → aka- (cl7 → cl12)</t>
  </si>
  <si>
    <t xml:space="preserve">NC-015</t>
  </si>
  <si>
    <t xml:space="preserve">Embwa ennene eri mu luggya.</t>
  </si>
  <si>
    <t xml:space="preserve">Embwa omunene eri mu luggya.</t>
  </si>
  <si>
    <t xml:space="preserve">The big dog is in the courtyard.</t>
  </si>
  <si>
    <t xml:space="preserve">en- → omu- (cl9 → cl1)</t>
  </si>
  <si>
    <t xml:space="preserve">NC-016</t>
  </si>
  <si>
    <t xml:space="preserve">Emmotoka empya eri mu luggya.</t>
  </si>
  <si>
    <t xml:space="preserve">Emmotoka ekiggya eri mu luggya.</t>
  </si>
  <si>
    <t xml:space="preserve">The new car is in the courtyard.</t>
  </si>
  <si>
    <t xml:space="preserve">em- (empya) → eki- (cl9 → cl7)</t>
  </si>
  <si>
    <t xml:space="preserve">Check -ggya forms: empya / ekiggya.</t>
  </si>
  <si>
    <t xml:space="preserve">NC-017</t>
  </si>
  <si>
    <t xml:space="preserve">Ekitabo ekiggya kiri mu nsawo.</t>
  </si>
  <si>
    <t xml:space="preserve">Ekitabo empya kiri mu nsawo.</t>
  </si>
  <si>
    <t xml:space="preserve">The new book is in the bag.</t>
  </si>
  <si>
    <t xml:space="preserve">eki- → em- (cl7 → cl9)</t>
  </si>
  <si>
    <t xml:space="preserve">Check -ggya forms.</t>
  </si>
  <si>
    <t xml:space="preserve">NC-018</t>
  </si>
  <si>
    <t xml:space="preserve">Omukazi omuwanvu ali mu katale.</t>
  </si>
  <si>
    <t xml:space="preserve">Omukazi abawanvu ali mu katale.</t>
  </si>
  <si>
    <t xml:space="preserve">The tall woman is in the market.</t>
  </si>
  <si>
    <t xml:space="preserve">omu- → aba- (cl1 → cl2)</t>
  </si>
  <si>
    <t xml:space="preserve">NC-019</t>
  </si>
  <si>
    <t xml:space="preserve">Abakazi abawanvu bali mu katale.</t>
  </si>
  <si>
    <t xml:space="preserve">Abakazi omuwanvu bali mu katale.</t>
  </si>
  <si>
    <t xml:space="preserve">The tall women are in the market.</t>
  </si>
  <si>
    <t xml:space="preserve">NC-020</t>
  </si>
  <si>
    <t xml:space="preserve">Omugga omuwanvu guli mu kyalo.</t>
  </si>
  <si>
    <t xml:space="preserve">Omugga ekiwanvu guli mu kyalo.</t>
  </si>
  <si>
    <t xml:space="preserve">The long river is in the village.</t>
  </si>
  <si>
    <t xml:space="preserve">NC-021</t>
  </si>
  <si>
    <t xml:space="preserve">Ekitabo kyange kiri wano.</t>
  </si>
  <si>
    <t xml:space="preserve">Ekitabo wange kiri wano.</t>
  </si>
  <si>
    <t xml:space="preserve">My book is here.</t>
  </si>
  <si>
    <t xml:space="preserve">kya- → wa- (cl7 → cl1 possessive)</t>
  </si>
  <si>
    <t xml:space="preserve">NC-022</t>
  </si>
  <si>
    <t xml:space="preserve">Ebitabo byange biri wano.</t>
  </si>
  <si>
    <t xml:space="preserve">Ebitabo kyange biri wano.</t>
  </si>
  <si>
    <t xml:space="preserve">My books are here.</t>
  </si>
  <si>
    <t xml:space="preserve">bya- → kya- (cl8 → cl7)</t>
  </si>
  <si>
    <t xml:space="preserve">NC-023</t>
  </si>
  <si>
    <t xml:space="preserve">Omwana wange ali wano.</t>
  </si>
  <si>
    <t xml:space="preserve">Omwana kyange ali wano.</t>
  </si>
  <si>
    <t xml:space="preserve">My child is here.</t>
  </si>
  <si>
    <t xml:space="preserve">wa- → kya- (cl1 → cl7)</t>
  </si>
  <si>
    <t xml:space="preserve">NC-024</t>
  </si>
  <si>
    <t xml:space="preserve">Abaana bange bali wano.</t>
  </si>
  <si>
    <t xml:space="preserve">Abaana wange bali wano.</t>
  </si>
  <si>
    <t xml:space="preserve">My children are here.</t>
  </si>
  <si>
    <t xml:space="preserve">ba- → wa- (cl2 → cl1)</t>
  </si>
  <si>
    <t xml:space="preserve">NC-025</t>
  </si>
  <si>
    <t xml:space="preserve">Embwa yange eri wano.</t>
  </si>
  <si>
    <t xml:space="preserve">Embwa kyange eri wano.</t>
  </si>
  <si>
    <t xml:space="preserve">My dog is here.</t>
  </si>
  <si>
    <t xml:space="preserve">ya- → kya- (cl9 → cl7)</t>
  </si>
  <si>
    <t xml:space="preserve">NC-026</t>
  </si>
  <si>
    <t xml:space="preserve">Embwa zange ziri wano.</t>
  </si>
  <si>
    <t xml:space="preserve">Embwa yange ziri wano.</t>
  </si>
  <si>
    <t xml:space="preserve">My dogs are here.</t>
  </si>
  <si>
    <t xml:space="preserve">za- → ya- (cl10 → cl9)</t>
  </si>
  <si>
    <t xml:space="preserve">embwa is cl9 and cl10; the verb ziri shows that it is plural.</t>
  </si>
  <si>
    <t xml:space="preserve">NC-027</t>
  </si>
  <si>
    <t xml:space="preserve">Omuti gwange guli wano.</t>
  </si>
  <si>
    <t xml:space="preserve">Omuti kyange guli wano.</t>
  </si>
  <si>
    <t xml:space="preserve">My tree is here.</t>
  </si>
  <si>
    <t xml:space="preserve">gwa- → kya- (cl3 → cl7)</t>
  </si>
  <si>
    <t xml:space="preserve">NC-028</t>
  </si>
  <si>
    <t xml:space="preserve">Emiti gyange giri wano.</t>
  </si>
  <si>
    <t xml:space="preserve">Emiti byange giri wano.</t>
  </si>
  <si>
    <t xml:space="preserve">My trees are here.</t>
  </si>
  <si>
    <t xml:space="preserve">gya- → bya- (cl4 → cl8)</t>
  </si>
  <si>
    <t xml:space="preserve">NC-029</t>
  </si>
  <si>
    <t xml:space="preserve">Olugoye lwange luli wano.</t>
  </si>
  <si>
    <t xml:space="preserve">Olugoye kyange luli wano.</t>
  </si>
  <si>
    <t xml:space="preserve">My cloth is here.</t>
  </si>
  <si>
    <t xml:space="preserve">lwa- → kya- (cl11 → cl7)</t>
  </si>
  <si>
    <t xml:space="preserve">NC-030</t>
  </si>
  <si>
    <t xml:space="preserve">Amagi gange gali wano.</t>
  </si>
  <si>
    <t xml:space="preserve">Amagi byange gali wano.</t>
  </si>
  <si>
    <t xml:space="preserve">My eggs are here.</t>
  </si>
  <si>
    <t xml:space="preserve">ga- → bya- (cl6 → cl8)</t>
  </si>
  <si>
    <t xml:space="preserve">NC-031</t>
  </si>
  <si>
    <t xml:space="preserve">Eggi lyange liri wano.</t>
  </si>
  <si>
    <t xml:space="preserve">Eggi gange liri wano.</t>
  </si>
  <si>
    <t xml:space="preserve">My egg is here.</t>
  </si>
  <si>
    <t xml:space="preserve">lya- → ga- (cl5 → cl6)</t>
  </si>
  <si>
    <t xml:space="preserve">NC-032</t>
  </si>
  <si>
    <t xml:space="preserve">Akambe kange kali wano.</t>
  </si>
  <si>
    <t xml:space="preserve">Akambe kyange kali wano.</t>
  </si>
  <si>
    <t xml:space="preserve">My knife is here.</t>
  </si>
  <si>
    <t xml:space="preserve">ka- → kya- (cl12 → cl7)</t>
  </si>
  <si>
    <t xml:space="preserve">NC-033</t>
  </si>
  <si>
    <t xml:space="preserve">Ennyumba yange eri wano.</t>
  </si>
  <si>
    <t xml:space="preserve">Ennyumba lyange eri wano.</t>
  </si>
  <si>
    <t xml:space="preserve">My house is here.</t>
  </si>
  <si>
    <t xml:space="preserve">ya- → lya- (cl9 → cl5)</t>
  </si>
  <si>
    <t xml:space="preserve">NC-034</t>
  </si>
  <si>
    <t xml:space="preserve">Emmotoka yaffe eri wano.</t>
  </si>
  <si>
    <t xml:space="preserve">Emmotoka kyaffe eri wano.</t>
  </si>
  <si>
    <t xml:space="preserve">Our car is here.</t>
  </si>
  <si>
    <t xml:space="preserve">NC-035</t>
  </si>
  <si>
    <t xml:space="preserve">Ekibuga kyaffe kinene.</t>
  </si>
  <si>
    <t xml:space="preserve">Ekibuga waffe kinene.</t>
  </si>
  <si>
    <t xml:space="preserve">Our town is big.</t>
  </si>
  <si>
    <t xml:space="preserve">kya- → wa- (cl7 → cl1)</t>
  </si>
  <si>
    <t xml:space="preserve">NC-036</t>
  </si>
  <si>
    <t xml:space="preserve">Omuti guno muwanvu.</t>
  </si>
  <si>
    <t xml:space="preserve">Omuti kino muwanvu.</t>
  </si>
  <si>
    <t xml:space="preserve">This tree is tall.</t>
  </si>
  <si>
    <t xml:space="preserve">gu- → ki- (cl3 → cl7 demonstrative)</t>
  </si>
  <si>
    <t xml:space="preserve">NC-037</t>
  </si>
  <si>
    <t xml:space="preserve">Emiti gino miwanvu.</t>
  </si>
  <si>
    <t xml:space="preserve">Emiti bino miwanvu.</t>
  </si>
  <si>
    <t xml:space="preserve">These trees are tall.</t>
  </si>
  <si>
    <t xml:space="preserve">gi- → bi- (cl4 → cl8)</t>
  </si>
  <si>
    <t xml:space="preserve">NC-038</t>
  </si>
  <si>
    <t xml:space="preserve">Ekitabo kino kirungi.</t>
  </si>
  <si>
    <t xml:space="preserve">Ekitabo guno kirungi.</t>
  </si>
  <si>
    <t xml:space="preserve">This book is good.</t>
  </si>
  <si>
    <t xml:space="preserve">ki- → gu- (cl7 → cl3)</t>
  </si>
  <si>
    <t xml:space="preserve">NC-039</t>
  </si>
  <si>
    <t xml:space="preserve">Ebitabo bino birungi.</t>
  </si>
  <si>
    <t xml:space="preserve">Ebitabo gino birungi.</t>
  </si>
  <si>
    <t xml:space="preserve">These books are good.</t>
  </si>
  <si>
    <t xml:space="preserve">bi- → gi- (cl8 → cl4)</t>
  </si>
  <si>
    <t xml:space="preserve">NC-040</t>
  </si>
  <si>
    <t xml:space="preserve">Omwana ono mulwadde.</t>
  </si>
  <si>
    <t xml:space="preserve">Omwana kino mulwadde.</t>
  </si>
  <si>
    <t xml:space="preserve">This child is sick.</t>
  </si>
  <si>
    <t xml:space="preserve">o- (ono) → ki- (cl1 → cl7)</t>
  </si>
  <si>
    <t xml:space="preserve">NC-041</t>
  </si>
  <si>
    <t xml:space="preserve">Abaana bano balwadde.</t>
  </si>
  <si>
    <t xml:space="preserve">Abaana ono balwadde.</t>
  </si>
  <si>
    <t xml:space="preserve">These children are sick.</t>
  </si>
  <si>
    <t xml:space="preserve">ba- → o- (cl2 → cl1)</t>
  </si>
  <si>
    <t xml:space="preserve">NC-042</t>
  </si>
  <si>
    <t xml:space="preserve">Ennyumba eno nnene.</t>
  </si>
  <si>
    <t xml:space="preserve">Ennyumba kino nnene.</t>
  </si>
  <si>
    <t xml:space="preserve">This house is big.</t>
  </si>
  <si>
    <t xml:space="preserve">e- (eno) → ki- (cl9 → cl7)</t>
  </si>
  <si>
    <t xml:space="preserve">NC-043</t>
  </si>
  <si>
    <t xml:space="preserve">Ennyumba zino nnene.</t>
  </si>
  <si>
    <t xml:space="preserve">Ennyumba bino nnene.</t>
  </si>
  <si>
    <t xml:space="preserve">These houses are big.</t>
  </si>
  <si>
    <t xml:space="preserve">zi- → bi- (cl10 → cl8)</t>
  </si>
  <si>
    <t xml:space="preserve">NC-044</t>
  </si>
  <si>
    <t xml:space="preserve">Amagi gano malungi.</t>
  </si>
  <si>
    <t xml:space="preserve">Amagi kino malungi.</t>
  </si>
  <si>
    <t xml:space="preserve">These eggs are good.</t>
  </si>
  <si>
    <t xml:space="preserve">ga- → ki- (cl6 → cl7)</t>
  </si>
  <si>
    <t xml:space="preserve">NC-045</t>
  </si>
  <si>
    <t xml:space="preserve">Olugoye luno lulungi.</t>
  </si>
  <si>
    <t xml:space="preserve">Olugoye kino lulungi.</t>
  </si>
  <si>
    <t xml:space="preserve">This cloth is good.</t>
  </si>
  <si>
    <t xml:space="preserve">lu- → ki- (cl11 → cl7)</t>
  </si>
  <si>
    <t xml:space="preserve">NC-046</t>
  </si>
  <si>
    <t xml:space="preserve">Akambe kano katono.</t>
  </si>
  <si>
    <t xml:space="preserve">Akambe kino katono.</t>
  </si>
  <si>
    <t xml:space="preserve">This knife is small.</t>
  </si>
  <si>
    <t xml:space="preserve">ka- → ki- (cl12 → cl7)</t>
  </si>
  <si>
    <t xml:space="preserve">NC-047</t>
  </si>
  <si>
    <t xml:space="preserve">Ejjinja lino ddene.</t>
  </si>
  <si>
    <t xml:space="preserve">Ejjinja kino ddene.</t>
  </si>
  <si>
    <t xml:space="preserve">This stone is big.</t>
  </si>
  <si>
    <t xml:space="preserve">li- → ki- (cl5 → cl7)</t>
  </si>
  <si>
    <t xml:space="preserve">Check the predicate form ddene.</t>
  </si>
  <si>
    <t xml:space="preserve">NC-048</t>
  </si>
  <si>
    <t xml:space="preserve">Omugga guno muwanvu.</t>
  </si>
  <si>
    <t xml:space="preserve">Omugga ono muwanvu.</t>
  </si>
  <si>
    <t xml:space="preserve">This river is long.</t>
  </si>
  <si>
    <t xml:space="preserve">gu- → o- (cl3 → cl1)</t>
  </si>
  <si>
    <t xml:space="preserve">NC-049</t>
  </si>
  <si>
    <t xml:space="preserve">Ekibuga kino kinene.</t>
  </si>
  <si>
    <t xml:space="preserve">Ekibuga eno kinene.</t>
  </si>
  <si>
    <t xml:space="preserve">This town is big.</t>
  </si>
  <si>
    <t xml:space="preserve">ki- → e- (cl7 → cl9)</t>
  </si>
  <si>
    <t xml:space="preserve">NC-050</t>
  </si>
  <si>
    <t xml:space="preserve">Embwa zino nnungi.</t>
  </si>
  <si>
    <t xml:space="preserve">Embwa bano nnungi.</t>
  </si>
  <si>
    <t xml:space="preserve">These dogs are good.</t>
  </si>
  <si>
    <t xml:space="preserve">zi- → ba- (cl10 → cl2)</t>
  </si>
  <si>
    <t xml:space="preserve">SO-001</t>
  </si>
  <si>
    <t xml:space="preserve">subject_object_marker</t>
  </si>
  <si>
    <t xml:space="preserve">Omwana agudde.</t>
  </si>
  <si>
    <t xml:space="preserve">Omwana bagudde.</t>
  </si>
  <si>
    <t xml:space="preserve">The child has fallen.</t>
  </si>
  <si>
    <t xml:space="preserve">a- → ba- (SM cl1 → cl2)</t>
  </si>
  <si>
    <t xml:space="preserve">SO-002</t>
  </si>
  <si>
    <t xml:space="preserve">Abaana bagudde.</t>
  </si>
  <si>
    <t xml:space="preserve">Abaana agudde.</t>
  </si>
  <si>
    <t xml:space="preserve">The children have fallen.</t>
  </si>
  <si>
    <t xml:space="preserve">ba- → a- (SM cl2 → cl1)</t>
  </si>
  <si>
    <t xml:space="preserve">SO-003</t>
  </si>
  <si>
    <t xml:space="preserve">Omuti gugudde.</t>
  </si>
  <si>
    <t xml:space="preserve">Omuti kigudde.</t>
  </si>
  <si>
    <t xml:space="preserve">The tree has fallen.</t>
  </si>
  <si>
    <t xml:space="preserve">gu- → ki- (SM cl3 → cl7)</t>
  </si>
  <si>
    <t xml:space="preserve">SO-004</t>
  </si>
  <si>
    <t xml:space="preserve">Emiti gigudde.</t>
  </si>
  <si>
    <t xml:space="preserve">Emiti bigudde.</t>
  </si>
  <si>
    <t xml:space="preserve">The trees have fallen.</t>
  </si>
  <si>
    <t xml:space="preserve">gi- → bi- (SM cl4 → cl8)</t>
  </si>
  <si>
    <t xml:space="preserve">SO-005</t>
  </si>
  <si>
    <t xml:space="preserve">Ekitabo kigudde.</t>
  </si>
  <si>
    <t xml:space="preserve">Ekitabo gugudde.</t>
  </si>
  <si>
    <t xml:space="preserve">The book has fallen.</t>
  </si>
  <si>
    <t xml:space="preserve">ki- → gu- (SM cl7 → cl3)</t>
  </si>
  <si>
    <t xml:space="preserve">SO-006</t>
  </si>
  <si>
    <t xml:space="preserve">Ebitabo bigudde.</t>
  </si>
  <si>
    <t xml:space="preserve">Ebitabo gigudde.</t>
  </si>
  <si>
    <t xml:space="preserve">The books have fallen.</t>
  </si>
  <si>
    <t xml:space="preserve">bi- → gi- (SM cl8 → cl4)</t>
  </si>
  <si>
    <t xml:space="preserve">SO-007</t>
  </si>
  <si>
    <t xml:space="preserve">Ejjinja ligudde.</t>
  </si>
  <si>
    <t xml:space="preserve">Ejjinja kigudde.</t>
  </si>
  <si>
    <t xml:space="preserve">The stone has fallen.</t>
  </si>
  <si>
    <t xml:space="preserve">li- → ki- (SM cl5 → cl7)</t>
  </si>
  <si>
    <t xml:space="preserve">SO-008</t>
  </si>
  <si>
    <t xml:space="preserve">Amayinja gagudde.</t>
  </si>
  <si>
    <t xml:space="preserve">Amayinja bigudde.</t>
  </si>
  <si>
    <t xml:space="preserve">The stones have fallen.</t>
  </si>
  <si>
    <t xml:space="preserve">ga- → bi- (SM cl6 → cl8)</t>
  </si>
  <si>
    <t xml:space="preserve">SO-009</t>
  </si>
  <si>
    <t xml:space="preserve">Oluggi lugudde.</t>
  </si>
  <si>
    <t xml:space="preserve">Oluggi kigudde.</t>
  </si>
  <si>
    <t xml:space="preserve">The door has fallen.</t>
  </si>
  <si>
    <t xml:space="preserve">lu- → ki- (SM cl11 → cl7)</t>
  </si>
  <si>
    <t xml:space="preserve">SO-010</t>
  </si>
  <si>
    <t xml:space="preserve">Akaana kakaaba.</t>
  </si>
  <si>
    <t xml:space="preserve">Akaana kikaaba.</t>
  </si>
  <si>
    <t xml:space="preserve">The little child is crying.</t>
  </si>
  <si>
    <t xml:space="preserve">ka- → ki- (SM cl12 → cl7)</t>
  </si>
  <si>
    <t xml:space="preserve">SO-011</t>
  </si>
  <si>
    <t xml:space="preserve">Enkuba etonnya.</t>
  </si>
  <si>
    <t xml:space="preserve">Enkuba atonnya.</t>
  </si>
  <si>
    <t xml:space="preserve">The rain is falling.</t>
  </si>
  <si>
    <t xml:space="preserve">e- → a- (SM cl9 → cl1)</t>
  </si>
  <si>
    <t xml:space="preserve">SO-012</t>
  </si>
  <si>
    <t xml:space="preserve">Omuliro gwaka.</t>
  </si>
  <si>
    <t xml:space="preserve">Omuliro kyaka.</t>
  </si>
  <si>
    <t xml:space="preserve">The fire is burning.</t>
  </si>
  <si>
    <t xml:space="preserve">gw- → ky- (SM cl3 → cl7)</t>
  </si>
  <si>
    <t xml:space="preserve">SO-013</t>
  </si>
  <si>
    <t xml:space="preserve">Omusana gwaka.</t>
  </si>
  <si>
    <t xml:space="preserve">Omusana bwaka.</t>
  </si>
  <si>
    <t xml:space="preserve">The sun is shining.</t>
  </si>
  <si>
    <t xml:space="preserve">gw- → bw- (SM cl3 → cl14)</t>
  </si>
  <si>
    <t xml:space="preserve">SO-014</t>
  </si>
  <si>
    <t xml:space="preserve">Ebinyonyi biyimba.</t>
  </si>
  <si>
    <t xml:space="preserve">Ebinyonyi giyimba.</t>
  </si>
  <si>
    <t xml:space="preserve">The birds are singing.</t>
  </si>
  <si>
    <t xml:space="preserve">SO-015</t>
  </si>
  <si>
    <t xml:space="preserve">Ekinyonyi kibuuka.</t>
  </si>
  <si>
    <t xml:space="preserve">Ekinyonyi abuuka.</t>
  </si>
  <si>
    <t xml:space="preserve">The bird is flying.</t>
  </si>
  <si>
    <t xml:space="preserve">ki- → a- (SM cl7 → cl1)</t>
  </si>
  <si>
    <t xml:space="preserve">SO-016</t>
  </si>
  <si>
    <t xml:space="preserve">Amazzi gakulukuta.</t>
  </si>
  <si>
    <t xml:space="preserve">Amazzi kikulukuta.</t>
  </si>
  <si>
    <t xml:space="preserve">The water is flowing.</t>
  </si>
  <si>
    <t xml:space="preserve">ga- → ki- (SM cl6 → cl7)</t>
  </si>
  <si>
    <t xml:space="preserve">Check the verb -kulukuta.</t>
  </si>
  <si>
    <t xml:space="preserve">SO-017</t>
  </si>
  <si>
    <t xml:space="preserve">Ebikoola bigwa.</t>
  </si>
  <si>
    <t xml:space="preserve">Ebikoola gigwa.</t>
  </si>
  <si>
    <t xml:space="preserve">The leaves are falling.</t>
  </si>
  <si>
    <t xml:space="preserve">SO-018</t>
  </si>
  <si>
    <t xml:space="preserve">Abagenyi batuuse.</t>
  </si>
  <si>
    <t xml:space="preserve">Abagenyi atuuse.</t>
  </si>
  <si>
    <t xml:space="preserve">The guests have arrived.</t>
  </si>
  <si>
    <t xml:space="preserve">SO-019</t>
  </si>
  <si>
    <t xml:space="preserve">Abalimi balima kasooli.</t>
  </si>
  <si>
    <t xml:space="preserve">Abalimi alima kasooli.</t>
  </si>
  <si>
    <t xml:space="preserve">The farmers grow maize.</t>
  </si>
  <si>
    <t xml:space="preserve">SO-020</t>
  </si>
  <si>
    <t xml:space="preserve">Omuyizi asoma ekitabo.</t>
  </si>
  <si>
    <t xml:space="preserve">Omuyizi basoma ekitabo.</t>
  </si>
  <si>
    <t xml:space="preserve">The student is reading a book.</t>
  </si>
  <si>
    <t xml:space="preserve">Not a kinship noun, so the honorific plural does not apply.</t>
  </si>
  <si>
    <t xml:space="preserve">SO-021</t>
  </si>
  <si>
    <t xml:space="preserve">Abazimbi bazimba ennyumba.</t>
  </si>
  <si>
    <t xml:space="preserve">Abazimbi azimba ennyumba.</t>
  </si>
  <si>
    <t xml:space="preserve">The builders are building a house.</t>
  </si>
  <si>
    <t xml:space="preserve">SO-022</t>
  </si>
  <si>
    <t xml:space="preserve">Emiti gikula mangu.</t>
  </si>
  <si>
    <t xml:space="preserve">Emiti gukula mangu.</t>
  </si>
  <si>
    <t xml:space="preserve">The trees grow fast.</t>
  </si>
  <si>
    <t xml:space="preserve">gi- → gu- (SM cl4 → cl3)</t>
  </si>
  <si>
    <t xml:space="preserve">SO-023</t>
  </si>
  <si>
    <t xml:space="preserve">Olugoye lukaze.</t>
  </si>
  <si>
    <t xml:space="preserve">Olugoye kikaze.</t>
  </si>
  <si>
    <t xml:space="preserve">The cloth has dried.</t>
  </si>
  <si>
    <t xml:space="preserve">SO-024</t>
  </si>
  <si>
    <t xml:space="preserve">Ekimuli kifudde.</t>
  </si>
  <si>
    <t xml:space="preserve">Ekimuli gufudde.</t>
  </si>
  <si>
    <t xml:space="preserve">The flower has withered.</t>
  </si>
  <si>
    <t xml:space="preserve">SO-025</t>
  </si>
  <si>
    <t xml:space="preserve">Embwa ebuze.</t>
  </si>
  <si>
    <t xml:space="preserve">Embwa kibuze.</t>
  </si>
  <si>
    <t xml:space="preserve">The dog is lost.</t>
  </si>
  <si>
    <t xml:space="preserve">e- → ki- (SM cl9 → cl7)</t>
  </si>
  <si>
    <t xml:space="preserve">SO-026</t>
  </si>
  <si>
    <t xml:space="preserve">Nze ŋŋenda ku ssomero.</t>
  </si>
  <si>
    <t xml:space="preserve">Nze agenda ku ssomero.</t>
  </si>
  <si>
    <t xml:space="preserve">I am going to school.</t>
  </si>
  <si>
    <t xml:space="preserve">n- (ŋŋ) → a- (SM 1sg → 3sg)</t>
  </si>
  <si>
    <t xml:space="preserve">The spelling ngenda is in the variation sheet.</t>
  </si>
  <si>
    <t xml:space="preserve">SO-027</t>
  </si>
  <si>
    <t xml:space="preserve">Ffe tugenda ku ssomero.</t>
  </si>
  <si>
    <t xml:space="preserve">Ffe bagenda ku ssomero.</t>
  </si>
  <si>
    <t xml:space="preserve">We are going to school.</t>
  </si>
  <si>
    <t xml:space="preserve">tu- → ba- (SM 1pl → 3pl)</t>
  </si>
  <si>
    <t xml:space="preserve">SO-028</t>
  </si>
  <si>
    <t xml:space="preserve">Mmwe mugenda ku ssomero.</t>
  </si>
  <si>
    <t xml:space="preserve">Mmwe tugenda ku ssomero.</t>
  </si>
  <si>
    <t xml:space="preserve">You (pl.) are going to school.</t>
  </si>
  <si>
    <t xml:space="preserve">mu- → tu- (SM 2pl → 1pl)</t>
  </si>
  <si>
    <t xml:space="preserve">SO-029</t>
  </si>
  <si>
    <t xml:space="preserve">Bo bagenda ku ssomero.</t>
  </si>
  <si>
    <t xml:space="preserve">Bo tugenda ku ssomero.</t>
  </si>
  <si>
    <t xml:space="preserve">They are going to school.</t>
  </si>
  <si>
    <t xml:space="preserve">ba- → tu- (SM 3pl → 1pl)</t>
  </si>
  <si>
    <t xml:space="preserve">SO-030</t>
  </si>
  <si>
    <t xml:space="preserve">Ye agenda ku ssomero.</t>
  </si>
  <si>
    <t xml:space="preserve">Ye mugenda ku ssomero.</t>
  </si>
  <si>
    <t xml:space="preserve">He/she is going to school.</t>
  </si>
  <si>
    <t xml:space="preserve">a- → mu- (SM 3sg → 2pl)</t>
  </si>
  <si>
    <t xml:space="preserve">SO-031</t>
  </si>
  <si>
    <t xml:space="preserve">Ggwe olya emmere.</t>
  </si>
  <si>
    <t xml:space="preserve">Ggwe alya emmere.</t>
  </si>
  <si>
    <t xml:space="preserve">You (sg.) are eating food.</t>
  </si>
  <si>
    <t xml:space="preserve">o- → a- (SM 2sg → 3sg)</t>
  </si>
  <si>
    <t xml:space="preserve">SO-032</t>
  </si>
  <si>
    <t xml:space="preserve">Nze ndya emmere.</t>
  </si>
  <si>
    <t xml:space="preserve">Nze olya emmere.</t>
  </si>
  <si>
    <t xml:space="preserve">I am eating food.</t>
  </si>
  <si>
    <t xml:space="preserve">n- → o- (SM 1sg → 2sg)</t>
  </si>
  <si>
    <t xml:space="preserve">SO-033</t>
  </si>
  <si>
    <t xml:space="preserve">Ffe tulya emmere.</t>
  </si>
  <si>
    <t xml:space="preserve">Ffe mulya emmere.</t>
  </si>
  <si>
    <t xml:space="preserve">We are eating food.</t>
  </si>
  <si>
    <t xml:space="preserve">tu- → mu- (SM 1pl → 2pl)</t>
  </si>
  <si>
    <t xml:space="preserve">SO-034</t>
  </si>
  <si>
    <t xml:space="preserve">Bo balya emmere.</t>
  </si>
  <si>
    <t xml:space="preserve">Bo alya emmere.</t>
  </si>
  <si>
    <t xml:space="preserve">They are eating food.</t>
  </si>
  <si>
    <t xml:space="preserve">ba- → a- (SM 3pl → 3sg)</t>
  </si>
  <si>
    <t xml:space="preserve">SO-035</t>
  </si>
  <si>
    <t xml:space="preserve">Mmwe mulya emmere.</t>
  </si>
  <si>
    <t xml:space="preserve">Mmwe balya emmere.</t>
  </si>
  <si>
    <t xml:space="preserve">You (pl.) are eating food.</t>
  </si>
  <si>
    <t xml:space="preserve">mu- → ba- (SM 2pl → 3pl)</t>
  </si>
  <si>
    <t xml:space="preserve">SO-036</t>
  </si>
  <si>
    <t xml:space="preserve">Ekitabo nkisomye.</t>
  </si>
  <si>
    <t xml:space="preserve">Ekitabo ngisomye.</t>
  </si>
  <si>
    <t xml:space="preserve">The book, I have read it.</t>
  </si>
  <si>
    <t xml:space="preserve">-ki- → -gi- (OM cl7 → cl9)</t>
  </si>
  <si>
    <t xml:space="preserve">SO-037</t>
  </si>
  <si>
    <t xml:space="preserve">Ebitabo mbisomye.</t>
  </si>
  <si>
    <t xml:space="preserve">Ebitabo nkisomye.</t>
  </si>
  <si>
    <t xml:space="preserve">The books, I have read them.</t>
  </si>
  <si>
    <t xml:space="preserve">-bi- → -ki- (OM cl8 → cl7)</t>
  </si>
  <si>
    <t xml:space="preserve">SO-038</t>
  </si>
  <si>
    <t xml:space="preserve">Embwa ngirabye.</t>
  </si>
  <si>
    <t xml:space="preserve">Embwa nkirabye.</t>
  </si>
  <si>
    <t xml:space="preserve">The dog, I have seen it.</t>
  </si>
  <si>
    <t xml:space="preserve">-gi- → -ki- (OM cl9 → cl7)</t>
  </si>
  <si>
    <t xml:space="preserve">SO-039</t>
  </si>
  <si>
    <t xml:space="preserve">Omwana mmulabye.</t>
  </si>
  <si>
    <t xml:space="preserve">Omwana mbalabye.</t>
  </si>
  <si>
    <t xml:space="preserve">The child, I have seen him/her.</t>
  </si>
  <si>
    <t xml:space="preserve">-mu- → -ba- (OM cl1 → cl2)</t>
  </si>
  <si>
    <t xml:space="preserve">SO-040</t>
  </si>
  <si>
    <t xml:space="preserve">Abaana mbalabye.</t>
  </si>
  <si>
    <t xml:space="preserve">Abaana mmulabye.</t>
  </si>
  <si>
    <t xml:space="preserve">The children, I have seen them.</t>
  </si>
  <si>
    <t xml:space="preserve">-ba- → -mu- (OM cl2 → cl1)</t>
  </si>
  <si>
    <t xml:space="preserve">SO-041</t>
  </si>
  <si>
    <t xml:space="preserve">Emmere ngiridde.</t>
  </si>
  <si>
    <t xml:space="preserve">Emmere nkiridde.</t>
  </si>
  <si>
    <t xml:space="preserve">The food, I have eaten it.</t>
  </si>
  <si>
    <t xml:space="preserve">SO-042</t>
  </si>
  <si>
    <t xml:space="preserve">Amazzi nganywedde.</t>
  </si>
  <si>
    <t xml:space="preserve">Amazzi nginywedde.</t>
  </si>
  <si>
    <t xml:space="preserve">The water, I have drunk it.</t>
  </si>
  <si>
    <t xml:space="preserve">-ga- → -gi- (OM cl6 → cl9)</t>
  </si>
  <si>
    <t xml:space="preserve">SO-043</t>
  </si>
  <si>
    <t xml:space="preserve">Omuti ngutemye.</t>
  </si>
  <si>
    <t xml:space="preserve">Omuti nkitemye.</t>
  </si>
  <si>
    <t xml:space="preserve">The tree, I have cut it.</t>
  </si>
  <si>
    <t xml:space="preserve">-gu- → -ki- (OM cl3 → cl7)</t>
  </si>
  <si>
    <t xml:space="preserve">SO-044</t>
  </si>
  <si>
    <t xml:space="preserve">Emiti ngitemye.</t>
  </si>
  <si>
    <t xml:space="preserve">Emiti ngutemye.</t>
  </si>
  <si>
    <t xml:space="preserve">The trees, I have cut them.</t>
  </si>
  <si>
    <t xml:space="preserve">-gi- → -gu- (OM cl4 → cl3)</t>
  </si>
  <si>
    <t xml:space="preserve">SO-045</t>
  </si>
  <si>
    <t xml:space="preserve">Ekitabo nkiguze.</t>
  </si>
  <si>
    <t xml:space="preserve">Ekitabo mbiguze.</t>
  </si>
  <si>
    <t xml:space="preserve">The book, I have bought it.</t>
  </si>
  <si>
    <t xml:space="preserve">-ki- → -bi- (OM cl7 → cl8)</t>
  </si>
  <si>
    <t xml:space="preserve">SO-046</t>
  </si>
  <si>
    <t xml:space="preserve">Amagi ngaguze.</t>
  </si>
  <si>
    <t xml:space="preserve">Amagi ngiguze.</t>
  </si>
  <si>
    <t xml:space="preserve">The eggs, I have bought them.</t>
  </si>
  <si>
    <t xml:space="preserve">SO-047</t>
  </si>
  <si>
    <t xml:space="preserve">Akambe nkaguze.</t>
  </si>
  <si>
    <t xml:space="preserve">Akambe nkiguze.</t>
  </si>
  <si>
    <t xml:space="preserve">The knife, I have bought it.</t>
  </si>
  <si>
    <t xml:space="preserve">-ka- → -ki- (OM cl12 → cl7)</t>
  </si>
  <si>
    <t xml:space="preserve">SO-048</t>
  </si>
  <si>
    <t xml:space="preserve">Olugoye nduguze.</t>
  </si>
  <si>
    <t xml:space="preserve">Olugoye nkiguze.</t>
  </si>
  <si>
    <t xml:space="preserve">The cloth, I have bought it.</t>
  </si>
  <si>
    <t xml:space="preserve">-lu- → -ki- (OM cl11 → cl7)</t>
  </si>
  <si>
    <t xml:space="preserve">Check n + lu → ndu.</t>
  </si>
  <si>
    <t xml:space="preserve">low</t>
  </si>
  <si>
    <t xml:space="preserve">SO-049</t>
  </si>
  <si>
    <t xml:space="preserve">Emmotoka ngiguze.</t>
  </si>
  <si>
    <t xml:space="preserve">Emmotoka nkiguze.</t>
  </si>
  <si>
    <t xml:space="preserve">The car, I have bought it.</t>
  </si>
  <si>
    <t xml:space="preserve">SO-050</t>
  </si>
  <si>
    <t xml:space="preserve">Abagenyi tubalabye.</t>
  </si>
  <si>
    <t xml:space="preserve">Abagenyi tumulabye.</t>
  </si>
  <si>
    <t xml:space="preserve">The guests, we have seen them.</t>
  </si>
  <si>
    <t xml:space="preserve">TA-001</t>
  </si>
  <si>
    <t xml:space="preserve">tense_aspect</t>
  </si>
  <si>
    <t xml:space="preserve">Jjo nnagenda e Kampala.</t>
  </si>
  <si>
    <t xml:space="preserve">Jjo ndigenda e Kampala.</t>
  </si>
  <si>
    <t xml:space="preserve">Yesterday I went to Kampala.</t>
  </si>
  <si>
    <t xml:space="preserve">-a- → -li- (past → far future)</t>
  </si>
  <si>
    <t xml:space="preserve">TA-002</t>
  </si>
  <si>
    <t xml:space="preserve">Jjo twagenda e Masaka.</t>
  </si>
  <si>
    <t xml:space="preserve">Jjo tuligenda e Masaka.</t>
  </si>
  <si>
    <t xml:space="preserve">Yesterday we went to Masaka.</t>
  </si>
  <si>
    <t xml:space="preserve">-a- → -li-</t>
  </si>
  <si>
    <t xml:space="preserve">TA-003</t>
  </si>
  <si>
    <t xml:space="preserve">Jjo yagenda ku dduuka.</t>
  </si>
  <si>
    <t xml:space="preserve">Jjo aligenda ku dduuka.</t>
  </si>
  <si>
    <t xml:space="preserve">Yesterday he/she went to the shop.</t>
  </si>
  <si>
    <t xml:space="preserve">TA-004</t>
  </si>
  <si>
    <t xml:space="preserve">Jjo baagenda mu katale.</t>
  </si>
  <si>
    <t xml:space="preserve">Jjo baligenda mu katale.</t>
  </si>
  <si>
    <t xml:space="preserve">Yesterday they went to the market.</t>
  </si>
  <si>
    <t xml:space="preserve">TA-005</t>
  </si>
  <si>
    <t xml:space="preserve">Jjo nnalya matooke.</t>
  </si>
  <si>
    <t xml:space="preserve">Jjo ndirya matooke.</t>
  </si>
  <si>
    <t xml:space="preserve">Yesterday I ate matooke.</t>
  </si>
  <si>
    <t xml:space="preserve">Check if matooke needs the augment (amatooke).</t>
  </si>
  <si>
    <t xml:space="preserve">TA-006</t>
  </si>
  <si>
    <t xml:space="preserve">Jjo twasoma ekitabo.</t>
  </si>
  <si>
    <t xml:space="preserve">Jjo tulisoma ekitabo.</t>
  </si>
  <si>
    <t xml:space="preserve">Yesterday we read a book.</t>
  </si>
  <si>
    <t xml:space="preserve">TA-007</t>
  </si>
  <si>
    <t xml:space="preserve">Jjo yalaba embwa.</t>
  </si>
  <si>
    <t xml:space="preserve">Jjo aliraba embwa.</t>
  </si>
  <si>
    <t xml:space="preserve">Yesterday he/she saw a dog.</t>
  </si>
  <si>
    <t xml:space="preserve">TA-008</t>
  </si>
  <si>
    <t xml:space="preserve">Jjo baalima ennimiro.</t>
  </si>
  <si>
    <t xml:space="preserve">Jjo balirima ennimiro.</t>
  </si>
  <si>
    <t xml:space="preserve">Yesterday they dug the garden.</t>
  </si>
  <si>
    <t xml:space="preserve">TA-009</t>
  </si>
  <si>
    <t xml:space="preserve">Jjo nnagula engoye.</t>
  </si>
  <si>
    <t xml:space="preserve">Jjo ndigula engoye.</t>
  </si>
  <si>
    <t xml:space="preserve">Yesterday I bought clothes.</t>
  </si>
  <si>
    <t xml:space="preserve">TA-010</t>
  </si>
  <si>
    <t xml:space="preserve">Jjo yakola nnyo.</t>
  </si>
  <si>
    <t xml:space="preserve">Jjo alikola nnyo.</t>
  </si>
  <si>
    <t xml:space="preserve">Yesterday he/she worked hard.</t>
  </si>
  <si>
    <t xml:space="preserve">TA-011</t>
  </si>
  <si>
    <t xml:space="preserve">Jjo baazina obulungi.</t>
  </si>
  <si>
    <t xml:space="preserve">Jjo balizina obulungi.</t>
  </si>
  <si>
    <t xml:space="preserve">Yesterday they danced well.</t>
  </si>
  <si>
    <t xml:space="preserve">TA-012</t>
  </si>
  <si>
    <t xml:space="preserve">Jjo twayimba mu kkanisa.</t>
  </si>
  <si>
    <t xml:space="preserve">Jjo tuliyimba mu kkanisa.</t>
  </si>
  <si>
    <t xml:space="preserve">Yesterday we sang in church.</t>
  </si>
  <si>
    <t xml:space="preserve">TA-013</t>
  </si>
  <si>
    <t xml:space="preserve">Enkya nnaagenda e Kampala.</t>
  </si>
  <si>
    <t xml:space="preserve">Enkya nnagenda e Kampala.</t>
  </si>
  <si>
    <t xml:space="preserve">Tomorrow I will go to Kampala.</t>
  </si>
  <si>
    <t xml:space="preserve">-naa- → -a- (near future → past)</t>
  </si>
  <si>
    <t xml:space="preserve">TA-014</t>
  </si>
  <si>
    <t xml:space="preserve">Enkya tunaagenda e Jinja.</t>
  </si>
  <si>
    <t xml:space="preserve">Enkya twagenda e Jinja.</t>
  </si>
  <si>
    <t xml:space="preserve">Tomorrow we will go to Jinja.</t>
  </si>
  <si>
    <t xml:space="preserve">-naa- → -a-</t>
  </si>
  <si>
    <t xml:space="preserve">TA-015</t>
  </si>
  <si>
    <t xml:space="preserve">Enkya anaagenda ku dduuka.</t>
  </si>
  <si>
    <t xml:space="preserve">Enkya yagenda ku dduuka.</t>
  </si>
  <si>
    <t xml:space="preserve">Tomorrow he/she will go to the shop.</t>
  </si>
  <si>
    <t xml:space="preserve">TA-016</t>
  </si>
  <si>
    <t xml:space="preserve">Enkya banaagenda mu katale.</t>
  </si>
  <si>
    <t xml:space="preserve">Enkya baagenda mu katale.</t>
  </si>
  <si>
    <t xml:space="preserve">Tomorrow they will go to the market.</t>
  </si>
  <si>
    <t xml:space="preserve">TA-017</t>
  </si>
  <si>
    <t xml:space="preserve">Enkya tunaasoma ekitabo.</t>
  </si>
  <si>
    <t xml:space="preserve">Enkya twasoma ekitabo.</t>
  </si>
  <si>
    <t xml:space="preserve">Tomorrow we will read a book.</t>
  </si>
  <si>
    <t xml:space="preserve">TA-018</t>
  </si>
  <si>
    <t xml:space="preserve">Enkya anaalima ennimiro.</t>
  </si>
  <si>
    <t xml:space="preserve">Enkya yalima ennimiro.</t>
  </si>
  <si>
    <t xml:space="preserve">Tomorrow he/she will dig the garden.</t>
  </si>
  <si>
    <t xml:space="preserve">TA-019</t>
  </si>
  <si>
    <t xml:space="preserve">Enkya banaakola nnyo.</t>
  </si>
  <si>
    <t xml:space="preserve">Enkya baakola nnyo.</t>
  </si>
  <si>
    <t xml:space="preserve">Tomorrow they will work hard.</t>
  </si>
  <si>
    <t xml:space="preserve">TA-020</t>
  </si>
  <si>
    <t xml:space="preserve">Enkya nnaagula engoye.</t>
  </si>
  <si>
    <t xml:space="preserve">Enkya nnagula engoye.</t>
  </si>
  <si>
    <t xml:space="preserve">Tomorrow I will buy clothes.</t>
  </si>
  <si>
    <t xml:space="preserve">TA-021</t>
  </si>
  <si>
    <t xml:space="preserve">Enkya anaatuuka ku makya.</t>
  </si>
  <si>
    <t xml:space="preserve">Enkya yatuuka ku makya.</t>
  </si>
  <si>
    <t xml:space="preserve">Tomorrow he/she will arrive in the morning.</t>
  </si>
  <si>
    <t xml:space="preserve">TA-022</t>
  </si>
  <si>
    <t xml:space="preserve">Enkya banaazina.</t>
  </si>
  <si>
    <t xml:space="preserve">Enkya baazina.</t>
  </si>
  <si>
    <t xml:space="preserve">Tomorrow they will dance.</t>
  </si>
  <si>
    <t xml:space="preserve">TA-023</t>
  </si>
  <si>
    <t xml:space="preserve">Enkya tunaayimba mu kkanisa.</t>
  </si>
  <si>
    <t xml:space="preserve">Enkya twayimba mu kkanisa.</t>
  </si>
  <si>
    <t xml:space="preserve">Tomorrow we will sing in church.</t>
  </si>
  <si>
    <t xml:space="preserve">TA-024</t>
  </si>
  <si>
    <t xml:space="preserve">Enkya onoogenda ku ssomero.</t>
  </si>
  <si>
    <t xml:space="preserve">Enkya wagenda ku ssomero.</t>
  </si>
  <si>
    <t xml:space="preserve">Tomorrow you (sg.) will go to school.</t>
  </si>
  <si>
    <t xml:space="preserve">-noo- → -a- (2sg forms)</t>
  </si>
  <si>
    <t xml:space="preserve">Check the 2sg forms onoo- / wa-.</t>
  </si>
  <si>
    <t xml:space="preserve">TA-025</t>
  </si>
  <si>
    <t xml:space="preserve">Omwaka oguwedde baalima kasooli.</t>
  </si>
  <si>
    <t xml:space="preserve">Omwaka oguwedde balirima kasooli.</t>
  </si>
  <si>
    <t xml:space="preserve">Last year they grew maize.</t>
  </si>
  <si>
    <t xml:space="preserve">TA-026</t>
  </si>
  <si>
    <t xml:space="preserve">Omwaka oguwedde twazimba ennyumba.</t>
  </si>
  <si>
    <t xml:space="preserve">Omwaka oguwedde tulizimba ennyumba.</t>
  </si>
  <si>
    <t xml:space="preserve">Last year we built a house.</t>
  </si>
  <si>
    <t xml:space="preserve">TA-027</t>
  </si>
  <si>
    <t xml:space="preserve">Omwaka oguwedde yasoma e Makerere.</t>
  </si>
  <si>
    <t xml:space="preserve">Omwaka oguwedde alisoma e Makerere.</t>
  </si>
  <si>
    <t xml:space="preserve">Last year he/she studied at Makerere.</t>
  </si>
  <si>
    <t xml:space="preserve">TA-028</t>
  </si>
  <si>
    <t xml:space="preserve">Omwaka oguwedde nnagula emmotoka.</t>
  </si>
  <si>
    <t xml:space="preserve">Omwaka oguwedde ndigula emmotoka.</t>
  </si>
  <si>
    <t xml:space="preserve">Last year I bought a car.</t>
  </si>
  <si>
    <t xml:space="preserve">TA-029</t>
  </si>
  <si>
    <t xml:space="preserve">Omwaka oguwedde baatuuka e Bungereza.</t>
  </si>
  <si>
    <t xml:space="preserve">Omwaka oguwedde balituuka e Bungereza.</t>
  </si>
  <si>
    <t xml:space="preserve">Last year they arrived in England.</t>
  </si>
  <si>
    <t xml:space="preserve">TA-030</t>
  </si>
  <si>
    <t xml:space="preserve">Omwaka oguwedde twafuna enkuba nnyingi.</t>
  </si>
  <si>
    <t xml:space="preserve">Omwaka oguwedde tulifuna enkuba nnyingi.</t>
  </si>
  <si>
    <t xml:space="preserve">Last year we got a lot of rain.</t>
  </si>
  <si>
    <t xml:space="preserve">TA-031</t>
  </si>
  <si>
    <t xml:space="preserve">Omwaka oguwedde yakola mu bbanka.</t>
  </si>
  <si>
    <t xml:space="preserve">Omwaka oguwedde alikola mu bbanka.</t>
  </si>
  <si>
    <t xml:space="preserve">Last year he/she worked in a bank.</t>
  </si>
  <si>
    <t xml:space="preserve">TA-032</t>
  </si>
  <si>
    <t xml:space="preserve">Omwaka oguwedde nnayiga okuvuga.</t>
  </si>
  <si>
    <t xml:space="preserve">Omwaka oguwedde ndiyiga okuvuga.</t>
  </si>
  <si>
    <t xml:space="preserve">Last year I learned to drive.</t>
  </si>
  <si>
    <t xml:space="preserve">TA-033</t>
  </si>
  <si>
    <t xml:space="preserve">Omwaka ogujja balirima kasooli.</t>
  </si>
  <si>
    <t xml:space="preserve">Omwaka ogujja baalima kasooli.</t>
  </si>
  <si>
    <t xml:space="preserve">Next year they will grow maize.</t>
  </si>
  <si>
    <t xml:space="preserve">-li- → -a- (far future → past)</t>
  </si>
  <si>
    <t xml:space="preserve">TA-034</t>
  </si>
  <si>
    <t xml:space="preserve">Omwaka ogujja tulizimba ennyumba.</t>
  </si>
  <si>
    <t xml:space="preserve">Omwaka ogujja twazimba ennyumba.</t>
  </si>
  <si>
    <t xml:space="preserve">Next year we will build a house.</t>
  </si>
  <si>
    <t xml:space="preserve">-li- → -a-</t>
  </si>
  <si>
    <t xml:space="preserve">TA-035</t>
  </si>
  <si>
    <t xml:space="preserve">Omwaka ogujja alisoma e Makerere.</t>
  </si>
  <si>
    <t xml:space="preserve">Omwaka ogujja yasoma e Makerere.</t>
  </si>
  <si>
    <t xml:space="preserve">Next year he/she will study at Makerere.</t>
  </si>
  <si>
    <t xml:space="preserve">TA-036</t>
  </si>
  <si>
    <t xml:space="preserve">Omwaka ogujja ndigula emmotoka.</t>
  </si>
  <si>
    <t xml:space="preserve">Omwaka ogujja nnagula emmotoka.</t>
  </si>
  <si>
    <t xml:space="preserve">Next year I will buy a car.</t>
  </si>
  <si>
    <t xml:space="preserve">TA-037</t>
  </si>
  <si>
    <t xml:space="preserve">Omwaka ogujja balituuka e Bungereza.</t>
  </si>
  <si>
    <t xml:space="preserve">Omwaka ogujja baatuuka e Bungereza.</t>
  </si>
  <si>
    <t xml:space="preserve">Next year they will arrive in England.</t>
  </si>
  <si>
    <t xml:space="preserve">TA-038</t>
  </si>
  <si>
    <t xml:space="preserve">Omwaka ogujja tulifuna enkuba nnyingi.</t>
  </si>
  <si>
    <t xml:space="preserve">Omwaka ogujja twafuna enkuba nnyingi.</t>
  </si>
  <si>
    <t xml:space="preserve">Next year we will get a lot of rain.</t>
  </si>
  <si>
    <t xml:space="preserve">TA-039</t>
  </si>
  <si>
    <t xml:space="preserve">Omwaka ogujja alikola mu bbanka.</t>
  </si>
  <si>
    <t xml:space="preserve">Omwaka ogujja yakola mu bbanka.</t>
  </si>
  <si>
    <t xml:space="preserve">Next year he/she will work in a bank.</t>
  </si>
  <si>
    <t xml:space="preserve">TA-040</t>
  </si>
  <si>
    <t xml:space="preserve">Omwaka ogujja ndiyiga okuvuga.</t>
  </si>
  <si>
    <t xml:space="preserve">Omwaka ogujja nnayiga okuvuga.</t>
  </si>
  <si>
    <t xml:space="preserve">Next year I will learn to drive.</t>
  </si>
  <si>
    <t xml:space="preserve">TA-041</t>
  </si>
  <si>
    <t xml:space="preserve">Wiiki ewedde twalaba omupiira.</t>
  </si>
  <si>
    <t xml:space="preserve">Wiiki ewedde tuliraba omupiira.</t>
  </si>
  <si>
    <t xml:space="preserve">Last week we watched football.</t>
  </si>
  <si>
    <t xml:space="preserve">TA-042</t>
  </si>
  <si>
    <t xml:space="preserve">Wiiki ewedde baagenda e Mbarara.</t>
  </si>
  <si>
    <t xml:space="preserve">Wiiki ewedde baligenda e Mbarara.</t>
  </si>
  <si>
    <t xml:space="preserve">Last week they went to Mbarara.</t>
  </si>
  <si>
    <t xml:space="preserve">TA-043</t>
  </si>
  <si>
    <t xml:space="preserve">Wiiki ewedde yafumba emmere ennungi.</t>
  </si>
  <si>
    <t xml:space="preserve">Wiiki ewedde alifumba emmere ennungi.</t>
  </si>
  <si>
    <t xml:space="preserve">Last week he/she cooked good food.</t>
  </si>
  <si>
    <t xml:space="preserve">TA-044</t>
  </si>
  <si>
    <t xml:space="preserve">Wiiki ewedde nnawandiika ebbaluwa.</t>
  </si>
  <si>
    <t xml:space="preserve">Wiiki ewedde ndiwandiika ebbaluwa.</t>
  </si>
  <si>
    <t xml:space="preserve">Last week I wrote a letter.</t>
  </si>
  <si>
    <t xml:space="preserve">TA-045</t>
  </si>
  <si>
    <t xml:space="preserve">Wiiki ewedde baakyala ewaffe.</t>
  </si>
  <si>
    <t xml:space="preserve">Wiiki ewedde balikyala ewaffe.</t>
  </si>
  <si>
    <t xml:space="preserve">Last week they visited our home.</t>
  </si>
  <si>
    <t xml:space="preserve">TA-046</t>
  </si>
  <si>
    <t xml:space="preserve">Wiiki ejja tuliraba omupiira.</t>
  </si>
  <si>
    <t xml:space="preserve">Wiiki ejja twalaba omupiira.</t>
  </si>
  <si>
    <t xml:space="preserve">Next week we will watch football.</t>
  </si>
  <si>
    <t xml:space="preserve">TA-047</t>
  </si>
  <si>
    <t xml:space="preserve">Wiiki ejja baligenda e Mbarara.</t>
  </si>
  <si>
    <t xml:space="preserve">Wiiki ejja baagenda e Mbarara.</t>
  </si>
  <si>
    <t xml:space="preserve">Next week they will go to Mbarara.</t>
  </si>
  <si>
    <t xml:space="preserve">TA-048</t>
  </si>
  <si>
    <t xml:space="preserve">Wiiki ejja alifumba emmere ennungi.</t>
  </si>
  <si>
    <t xml:space="preserve">Wiiki ejja yafumba emmere ennungi.</t>
  </si>
  <si>
    <t xml:space="preserve">Next week he/she will cook good food.</t>
  </si>
  <si>
    <t xml:space="preserve">TA-049</t>
  </si>
  <si>
    <t xml:space="preserve">Wiiki ejja ndiwandiika ebbaluwa.</t>
  </si>
  <si>
    <t xml:space="preserve">Wiiki ejja nnawandiika ebbaluwa.</t>
  </si>
  <si>
    <t xml:space="preserve">Next week I will write a letter.</t>
  </si>
  <si>
    <t xml:space="preserve">TA-050</t>
  </si>
  <si>
    <t xml:space="preserve">Wiiki ejja balikyala ewaffe.</t>
  </si>
  <si>
    <t xml:space="preserve">Wiiki ejja baakyala ewaffe.</t>
  </si>
  <si>
    <t xml:space="preserve">Next week they will visit our home.</t>
  </si>
  <si>
    <t xml:space="preserve">NG-001</t>
  </si>
  <si>
    <t xml:space="preserve">negation</t>
  </si>
  <si>
    <t xml:space="preserve">Omwana tannaba kulya.</t>
  </si>
  <si>
    <t xml:space="preserve">Omwana annaba kulya.</t>
  </si>
  <si>
    <t xml:space="preserve">The child has not yet eaten.</t>
  </si>
  <si>
    <t xml:space="preserve">ta- → a- (negation removed)</t>
  </si>
  <si>
    <t xml:space="preserve">NG-002</t>
  </si>
  <si>
    <t xml:space="preserve">Abagenyi tebannaba kutuuka.</t>
  </si>
  <si>
    <t xml:space="preserve">Abagenyi bannaba kutuuka.</t>
  </si>
  <si>
    <t xml:space="preserve">The guests have not yet arrived.</t>
  </si>
  <si>
    <t xml:space="preserve">teba- → ba-</t>
  </si>
  <si>
    <t xml:space="preserve">NG-003</t>
  </si>
  <si>
    <t xml:space="preserve">Enkuba tennaba kutonnya.</t>
  </si>
  <si>
    <t xml:space="preserve">Enkuba ennaba kutonnya.</t>
  </si>
  <si>
    <t xml:space="preserve">The rain has not yet fallen.</t>
  </si>
  <si>
    <t xml:space="preserve">te- → e-</t>
  </si>
  <si>
    <t xml:space="preserve">NG-004</t>
  </si>
  <si>
    <t xml:space="preserve">Sinnaba kusoma kitabo kino.</t>
  </si>
  <si>
    <t xml:space="preserve">Nnaba kusoma kitabo kino.</t>
  </si>
  <si>
    <t xml:space="preserve">I have not yet read this book.</t>
  </si>
  <si>
    <t xml:space="preserve">si- → n-</t>
  </si>
  <si>
    <t xml:space="preserve">kitabo has no augment because the verb is negative.</t>
  </si>
  <si>
    <t xml:space="preserve">NG-005</t>
  </si>
  <si>
    <t xml:space="preserve">Tetunnaba kugenda.</t>
  </si>
  <si>
    <t xml:space="preserve">Tunnaba kugenda.</t>
  </si>
  <si>
    <t xml:space="preserve">We have not yet gone.</t>
  </si>
  <si>
    <t xml:space="preserve">tetu- → tu-</t>
  </si>
  <si>
    <t xml:space="preserve">NG-006</t>
  </si>
  <si>
    <t xml:space="preserve">Emmere tennaba kuggya.</t>
  </si>
  <si>
    <t xml:space="preserve">Emmere ennaba kuggya.</t>
  </si>
  <si>
    <t xml:space="preserve">The food is not yet cooked.</t>
  </si>
  <si>
    <t xml:space="preserve">Check the verb -ggya (be cooked).</t>
  </si>
  <si>
    <t xml:space="preserve">NG-007</t>
  </si>
  <si>
    <t xml:space="preserve">Omusomesa tannaba kujja.</t>
  </si>
  <si>
    <t xml:space="preserve">Omusomesa annaba kujja.</t>
  </si>
  <si>
    <t xml:space="preserve">The teacher has not yet come.</t>
  </si>
  <si>
    <t xml:space="preserve">ta- → a-</t>
  </si>
  <si>
    <t xml:space="preserve">NG-008</t>
  </si>
  <si>
    <t xml:space="preserve">Abaana tebannaba kwebaka.</t>
  </si>
  <si>
    <t xml:space="preserve">Abaana bannaba kwebaka.</t>
  </si>
  <si>
    <t xml:space="preserve">The children have not yet slept.</t>
  </si>
  <si>
    <t xml:space="preserve">NG-009</t>
  </si>
  <si>
    <t xml:space="preserve">Ekitabo tekinnaba kutuuka.</t>
  </si>
  <si>
    <t xml:space="preserve">Ekitabo kinnaba kutuuka.</t>
  </si>
  <si>
    <t xml:space="preserve">The book has not yet arrived.</t>
  </si>
  <si>
    <t xml:space="preserve">teki- → ki-</t>
  </si>
  <si>
    <t xml:space="preserve">NG-010</t>
  </si>
  <si>
    <t xml:space="preserve">Bbaasi tennaba kuva wano.</t>
  </si>
  <si>
    <t xml:space="preserve">Bbaasi ennaba kuva wano.</t>
  </si>
  <si>
    <t xml:space="preserve">The bus has not yet left here.</t>
  </si>
  <si>
    <t xml:space="preserve">NG-011</t>
  </si>
  <si>
    <t xml:space="preserve">Tonnaba kumaliriza mulimu.</t>
  </si>
  <si>
    <t xml:space="preserve">Onnaba kumaliriza mulimu.</t>
  </si>
  <si>
    <t xml:space="preserve">You (sg.) have not yet finished the work.</t>
  </si>
  <si>
    <t xml:space="preserve">to- → o-</t>
  </si>
  <si>
    <t xml:space="preserve">NG-012</t>
  </si>
  <si>
    <t xml:space="preserve">Temunnaba kusasula.</t>
  </si>
  <si>
    <t xml:space="preserve">Munnaba kusasula.</t>
  </si>
  <si>
    <t xml:space="preserve">You (pl.) have not yet paid.</t>
  </si>
  <si>
    <t xml:space="preserve">temu- → mu-</t>
  </si>
  <si>
    <t xml:space="preserve">NG-013</t>
  </si>
  <si>
    <t xml:space="preserve">Abalimi tebannaba kukungula.</t>
  </si>
  <si>
    <t xml:space="preserve">Abalimi bannaba kukungula.</t>
  </si>
  <si>
    <t xml:space="preserve">The farmers have not yet harvested.</t>
  </si>
  <si>
    <t xml:space="preserve">NG-014</t>
  </si>
  <si>
    <t xml:space="preserve">Omulwadde tannaba kuwona.</t>
  </si>
  <si>
    <t xml:space="preserve">Omulwadde annaba kuwona.</t>
  </si>
  <si>
    <t xml:space="preserve">The patient has not yet recovered.</t>
  </si>
  <si>
    <t xml:space="preserve">NG-015</t>
  </si>
  <si>
    <t xml:space="preserve">Ebbaluwa tennaba kutuuka.</t>
  </si>
  <si>
    <t xml:space="preserve">Ebbaluwa ennaba kutuuka.</t>
  </si>
  <si>
    <t xml:space="preserve">The letter has not yet arrived.</t>
  </si>
  <si>
    <t xml:space="preserve">NG-016</t>
  </si>
  <si>
    <t xml:space="preserve">Sirina kitabo.</t>
  </si>
  <si>
    <t xml:space="preserve">Nnina kitabo.</t>
  </si>
  <si>
    <t xml:space="preserve">I do not have a book.</t>
  </si>
  <si>
    <t xml:space="preserve">si- → n- (negation removed)</t>
  </si>
  <si>
    <t xml:space="preserve">The positive needs the augment: Nnina ekitabo.</t>
  </si>
  <si>
    <t xml:space="preserve">NG-017</t>
  </si>
  <si>
    <t xml:space="preserve">Talina mmere.</t>
  </si>
  <si>
    <t xml:space="preserve">Alina mmere.</t>
  </si>
  <si>
    <t xml:space="preserve">He/she has no food.</t>
  </si>
  <si>
    <t xml:space="preserve">Positive: Alina emmere.</t>
  </si>
  <si>
    <t xml:space="preserve">NG-018</t>
  </si>
  <si>
    <t xml:space="preserve">Tebalina sente.</t>
  </si>
  <si>
    <t xml:space="preserve">Balina sente.</t>
  </si>
  <si>
    <t xml:space="preserve">They have no money.</t>
  </si>
  <si>
    <t xml:space="preserve">Positive: Balina ensimbi / sente (check).</t>
  </si>
  <si>
    <t xml:space="preserve">NG-019</t>
  </si>
  <si>
    <t xml:space="preserve">Tetulina mazzi.</t>
  </si>
  <si>
    <t xml:space="preserve">Tulina mazzi.</t>
  </si>
  <si>
    <t xml:space="preserve">We have no water.</t>
  </si>
  <si>
    <t xml:space="preserve">Positive: Tulina amazzi.</t>
  </si>
  <si>
    <t xml:space="preserve">NG-020</t>
  </si>
  <si>
    <t xml:space="preserve">Saalaba muntu.</t>
  </si>
  <si>
    <t xml:space="preserve">Nnalaba muntu.</t>
  </si>
  <si>
    <t xml:space="preserve">I did not see anyone.</t>
  </si>
  <si>
    <t xml:space="preserve">saa- → nna- (negative past → past)</t>
  </si>
  <si>
    <t xml:space="preserve">Positive: Nnalaba omuntu.</t>
  </si>
  <si>
    <t xml:space="preserve">NG-021</t>
  </si>
  <si>
    <t xml:space="preserve">Teyalya mmere.</t>
  </si>
  <si>
    <t xml:space="preserve">Yalya mmere.</t>
  </si>
  <si>
    <t xml:space="preserve">He/she did not eat food.</t>
  </si>
  <si>
    <t xml:space="preserve">teya- → ya-</t>
  </si>
  <si>
    <t xml:space="preserve">Positive: Yalya emmere.</t>
  </si>
  <si>
    <t xml:space="preserve">NG-022</t>
  </si>
  <si>
    <t xml:space="preserve">Tebaalaba mbwa.</t>
  </si>
  <si>
    <t xml:space="preserve">Baalaba mbwa.</t>
  </si>
  <si>
    <t xml:space="preserve">They did not see a dog.</t>
  </si>
  <si>
    <t xml:space="preserve">tebaa- → baa-</t>
  </si>
  <si>
    <t xml:space="preserve">Positive: Baalaba embwa.</t>
  </si>
  <si>
    <t xml:space="preserve">NG-023</t>
  </si>
  <si>
    <t xml:space="preserve">Sirina mwana.</t>
  </si>
  <si>
    <t xml:space="preserve">Nnina mwana.</t>
  </si>
  <si>
    <t xml:space="preserve">I have no child.</t>
  </si>
  <si>
    <t xml:space="preserve">Positive: Nnina omwana.</t>
  </si>
  <si>
    <t xml:space="preserve">NG-024</t>
  </si>
  <si>
    <t xml:space="preserve">Talina mulimu.</t>
  </si>
  <si>
    <t xml:space="preserve">Alina mulimu.</t>
  </si>
  <si>
    <t xml:space="preserve">He/she has no job.</t>
  </si>
  <si>
    <t xml:space="preserve">Positive: Alina omulimu.</t>
  </si>
  <si>
    <t xml:space="preserve">NG-025</t>
  </si>
  <si>
    <t xml:space="preserve">Tetwagula mmotoka.</t>
  </si>
  <si>
    <t xml:space="preserve">Twagula mmotoka.</t>
  </si>
  <si>
    <t xml:space="preserve">We did not buy a car.</t>
  </si>
  <si>
    <t xml:space="preserve">tetwa- → twa-</t>
  </si>
  <si>
    <t xml:space="preserve">Positive: Twagula emmotoka.</t>
  </si>
  <si>
    <t xml:space="preserve">NG-026</t>
  </si>
  <si>
    <t xml:space="preserve">Sinywa mwenge.</t>
  </si>
  <si>
    <t xml:space="preserve">Nnywa mwenge.</t>
  </si>
  <si>
    <t xml:space="preserve">I do not drink beer.</t>
  </si>
  <si>
    <t xml:space="preserve">Positive: Nnywa omwenge.</t>
  </si>
  <si>
    <t xml:space="preserve">NG-027</t>
  </si>
  <si>
    <t xml:space="preserve">Talya nnyama.</t>
  </si>
  <si>
    <t xml:space="preserve">Alya nnyama.</t>
  </si>
  <si>
    <t xml:space="preserve">He/she does not eat meat.</t>
  </si>
  <si>
    <t xml:space="preserve">Positive: Alya ennyama.</t>
  </si>
  <si>
    <t xml:space="preserve">NG-028</t>
  </si>
  <si>
    <t xml:space="preserve">Tebasoma bitabo.</t>
  </si>
  <si>
    <t xml:space="preserve">Basoma bitabo.</t>
  </si>
  <si>
    <t xml:space="preserve">They do not read books.</t>
  </si>
  <si>
    <t xml:space="preserve">Positive: Basoma ebitabo.</t>
  </si>
  <si>
    <t xml:space="preserve">NG-029</t>
  </si>
  <si>
    <t xml:space="preserve">Tetulaba kintu.</t>
  </si>
  <si>
    <t xml:space="preserve">Tulaba kintu.</t>
  </si>
  <si>
    <t xml:space="preserve">We do not see anything.</t>
  </si>
  <si>
    <t xml:space="preserve">Positive: Tulaba ekintu.</t>
  </si>
  <si>
    <t xml:space="preserve">NG-030</t>
  </si>
  <si>
    <t xml:space="preserve">Omwana talina ngatto.</t>
  </si>
  <si>
    <t xml:space="preserve">Omwana alina ngatto.</t>
  </si>
  <si>
    <t xml:space="preserve">The child has no shoes.</t>
  </si>
  <si>
    <t xml:space="preserve">Positive: Omwana alina engatto.</t>
  </si>
  <si>
    <t xml:space="preserve">NG-031</t>
  </si>
  <si>
    <t xml:space="preserve">Sirina mwana n'omu.</t>
  </si>
  <si>
    <t xml:space="preserve">Nnina mwana n'omu.</t>
  </si>
  <si>
    <t xml:space="preserve">I do not have even one child.</t>
  </si>
  <si>
    <t xml:space="preserve">NG-032</t>
  </si>
  <si>
    <t xml:space="preserve">Tebalina sente n'akatono.</t>
  </si>
  <si>
    <t xml:space="preserve">Balina sente n'akatono.</t>
  </si>
  <si>
    <t xml:space="preserve">They have no money at all.</t>
  </si>
  <si>
    <t xml:space="preserve">NG-033</t>
  </si>
  <si>
    <t xml:space="preserve">Talina kitabo n'ekimu.</t>
  </si>
  <si>
    <t xml:space="preserve">Alina kitabo n'ekimu.</t>
  </si>
  <si>
    <t xml:space="preserve">He/she does not have even one book.</t>
  </si>
  <si>
    <t xml:space="preserve">NG-034</t>
  </si>
  <si>
    <t xml:space="preserve">Saalaba muntu n'omu.</t>
  </si>
  <si>
    <t xml:space="preserve">Nnalaba muntu n'omu.</t>
  </si>
  <si>
    <t xml:space="preserve">I did not see even one person.</t>
  </si>
  <si>
    <t xml:space="preserve">saa- → nna-</t>
  </si>
  <si>
    <t xml:space="preserve">NG-035</t>
  </si>
  <si>
    <t xml:space="preserve">Tetulina budde n'akatono.</t>
  </si>
  <si>
    <t xml:space="preserve">Tulina budde n'akatono.</t>
  </si>
  <si>
    <t xml:space="preserve">We have no time at all.</t>
  </si>
  <si>
    <t xml:space="preserve">NG-036</t>
  </si>
  <si>
    <t xml:space="preserve">Omwana tagenda ku ssomero.</t>
  </si>
  <si>
    <t xml:space="preserve">Omwana tebagenda ku ssomero.</t>
  </si>
  <si>
    <t xml:space="preserve">The child does not go to school.</t>
  </si>
  <si>
    <t xml:space="preserve">ta- → teba- (neg cl1 → cl2)</t>
  </si>
  <si>
    <t xml:space="preserve">Negation and subject marker are one prefix.</t>
  </si>
  <si>
    <t xml:space="preserve">NG-037</t>
  </si>
  <si>
    <t xml:space="preserve">Abaana tebagenda ku ssomero.</t>
  </si>
  <si>
    <t xml:space="preserve">Abaana tagenda ku ssomero.</t>
  </si>
  <si>
    <t xml:space="preserve">The children do not go to school.</t>
  </si>
  <si>
    <t xml:space="preserve">teba- → ta-</t>
  </si>
  <si>
    <t xml:space="preserve">NG-038</t>
  </si>
  <si>
    <t xml:space="preserve">Nze sigenda ku ssomero.</t>
  </si>
  <si>
    <t xml:space="preserve">Nze tagenda ku ssomero.</t>
  </si>
  <si>
    <t xml:space="preserve">I do not go to school.</t>
  </si>
  <si>
    <t xml:space="preserve">si- → ta- (neg 1sg → 3sg)</t>
  </si>
  <si>
    <t xml:space="preserve">NG-039</t>
  </si>
  <si>
    <t xml:space="preserve">Ffe tetugenda ku ssomero.</t>
  </si>
  <si>
    <t xml:space="preserve">Ffe tebagenda ku ssomero.</t>
  </si>
  <si>
    <t xml:space="preserve">We do not go to school.</t>
  </si>
  <si>
    <t xml:space="preserve">tetu- → teba-</t>
  </si>
  <si>
    <t xml:space="preserve">NG-040</t>
  </si>
  <si>
    <t xml:space="preserve">Ggwe togenda ku ssomero.</t>
  </si>
  <si>
    <t xml:space="preserve">Ggwe tagenda ku ssomero.</t>
  </si>
  <si>
    <t xml:space="preserve">You (sg.) do not go to school.</t>
  </si>
  <si>
    <t xml:space="preserve">to- → ta-</t>
  </si>
  <si>
    <t xml:space="preserve">NG-041</t>
  </si>
  <si>
    <t xml:space="preserve">Mmwe temugenda ku ssomero.</t>
  </si>
  <si>
    <t xml:space="preserve">Mmwe tetugenda ku ssomero.</t>
  </si>
  <si>
    <t xml:space="preserve">You (pl.) do not go to school.</t>
  </si>
  <si>
    <t xml:space="preserve">temu- → tetu-</t>
  </si>
  <si>
    <t xml:space="preserve">NG-042</t>
  </si>
  <si>
    <t xml:space="preserve">Embwa terya nnyama.</t>
  </si>
  <si>
    <t xml:space="preserve">Embwa talya nnyama.</t>
  </si>
  <si>
    <t xml:space="preserve">The dog does not eat meat.</t>
  </si>
  <si>
    <t xml:space="preserve">te- → ta- (neg cl9 → cl1)</t>
  </si>
  <si>
    <t xml:space="preserve">NG-043</t>
  </si>
  <si>
    <t xml:space="preserve">Ekitabo tekiri wano.</t>
  </si>
  <si>
    <t xml:space="preserve">Ekitabo tali wano.</t>
  </si>
  <si>
    <t xml:space="preserve">The book is not here.</t>
  </si>
  <si>
    <t xml:space="preserve">teki- → ta-</t>
  </si>
  <si>
    <t xml:space="preserve">NG-044</t>
  </si>
  <si>
    <t xml:space="preserve">Ebitabo tebiri wano.</t>
  </si>
  <si>
    <t xml:space="preserve">Ebitabo tekiri wano.</t>
  </si>
  <si>
    <t xml:space="preserve">The books are not here.</t>
  </si>
  <si>
    <t xml:space="preserve">tebi- → teki-</t>
  </si>
  <si>
    <t xml:space="preserve">NG-045</t>
  </si>
  <si>
    <t xml:space="preserve">Omuti teguli wano.</t>
  </si>
  <si>
    <t xml:space="preserve">Omuti tekiri wano.</t>
  </si>
  <si>
    <t xml:space="preserve">The tree is not here.</t>
  </si>
  <si>
    <t xml:space="preserve">tegu- → teki-</t>
  </si>
  <si>
    <t xml:space="preserve">NG-046</t>
  </si>
  <si>
    <t xml:space="preserve">Ente teziri mu nnimiro.</t>
  </si>
  <si>
    <t xml:space="preserve">Ente tebali mu nnimiro.</t>
  </si>
  <si>
    <t xml:space="preserve">The cows are not in the field.</t>
  </si>
  <si>
    <t xml:space="preserve">tezi- → teba-</t>
  </si>
  <si>
    <t xml:space="preserve">NG-047</t>
  </si>
  <si>
    <t xml:space="preserve">Omuyizi tali mu kibiina.</t>
  </si>
  <si>
    <t xml:space="preserve">Omuyizi tebali mu kibiina.</t>
  </si>
  <si>
    <t xml:space="preserve">The student is not in the classroom.</t>
  </si>
  <si>
    <t xml:space="preserve">ta- → teba-</t>
  </si>
  <si>
    <t xml:space="preserve">Check that no honorific plural reading is possible.</t>
  </si>
  <si>
    <t xml:space="preserve">NG-048</t>
  </si>
  <si>
    <t xml:space="preserve">Abayizi tebali mu kibiina.</t>
  </si>
  <si>
    <t xml:space="preserve">Abayizi tali mu kibiina.</t>
  </si>
  <si>
    <t xml:space="preserve">The students are not in the classroom.</t>
  </si>
  <si>
    <t xml:space="preserve">NG-049</t>
  </si>
  <si>
    <t xml:space="preserve">Amazzi tegali mu nsuwa.</t>
  </si>
  <si>
    <t xml:space="preserve">Amazzi tekiri mu nsuwa.</t>
  </si>
  <si>
    <t xml:space="preserve">The water is not in the pot.</t>
  </si>
  <si>
    <t xml:space="preserve">tega- → teki-</t>
  </si>
  <si>
    <t xml:space="preserve">NG-050</t>
  </si>
  <si>
    <t xml:space="preserve">Olugoye teluli wano.</t>
  </si>
  <si>
    <t xml:space="preserve">Olugoye tekiri wano.</t>
  </si>
  <si>
    <t xml:space="preserve">The cloth is not here.</t>
  </si>
  <si>
    <t xml:space="preserve">telu- → teki-</t>
  </si>
  <si>
    <t xml:space="preserve">consistent</t>
  </si>
  <si>
    <t xml:space="preserve">switched</t>
  </si>
  <si>
    <t xml:space="preserve">referent</t>
  </si>
  <si>
    <t xml:space="preserve">class_switch</t>
  </si>
  <si>
    <t xml:space="preserve">fixed_consistent</t>
  </si>
  <si>
    <t xml:space="preserve">fixed_switched</t>
  </si>
  <si>
    <t xml:space="preserve">PG-001</t>
  </si>
  <si>
    <t xml:space="preserve">Kato yaguze ekitabo ekiggya. Yakisomye mu lunaku lumu. Kati kiri ku mmeeza.</t>
  </si>
  <si>
    <t xml:space="preserve">Kato yaguze ekitabo ekiggya. Yakisomye mu lunaku lumu. Kati giri ku mmeeza.</t>
  </si>
  <si>
    <t xml:space="preserve">ekitabo</t>
  </si>
  <si>
    <t xml:space="preserve">cl7 → cl9 (ki- → gi-)</t>
  </si>
  <si>
    <t xml:space="preserve">Kato bought a new book. He read it in one day. Now it is on the table.</t>
  </si>
  <si>
    <t xml:space="preserve">PG-002</t>
  </si>
  <si>
    <t xml:space="preserve">Musoke alina embwa ennene. Buli kiro ekuuma ennyumba ye. Abaana bagyagala nnyo.</t>
  </si>
  <si>
    <t xml:space="preserve">Musoke alina embwa ennene. Buli kiro ekuuma ennyumba ye. Abaana bakyagala nnyo.</t>
  </si>
  <si>
    <t xml:space="preserve">embwa</t>
  </si>
  <si>
    <t xml:space="preserve">cl9 → cl7 (-gi- → -ki-)</t>
  </si>
  <si>
    <t xml:space="preserve">Musoke has a big dog. Every night it guards his house. The children love it very much.</t>
  </si>
  <si>
    <t xml:space="preserve">PG-003</t>
  </si>
  <si>
    <t xml:space="preserve">Mu luggya lwaffe mulimu omuti omunene. Gulina ebibala bingi. Abaana batera okugulinnya.</t>
  </si>
  <si>
    <t xml:space="preserve">Mu luggya lwaffe mulimu omuti omunene. Gulina ebibala bingi. Abaana batera okukilinnya.</t>
  </si>
  <si>
    <t xml:space="preserve">omuti</t>
  </si>
  <si>
    <t xml:space="preserve">cl3 → cl7 (-gu- → -ki-)</t>
  </si>
  <si>
    <t xml:space="preserve">In our courtyard there is a big tree. It has many fruits. The children often climb it.</t>
  </si>
  <si>
    <t xml:space="preserve">PG-004</t>
  </si>
  <si>
    <t xml:space="preserve">Taata yaguze emmotoka empya. Ya langi enjeru. Buli ku makya agivuga okugenda ku mulimu.</t>
  </si>
  <si>
    <t xml:space="preserve">Taata yaguze emmotoka empya. Ya langi enjeru. Buli ku makya akivuga okugenda ku mulimu.</t>
  </si>
  <si>
    <t xml:space="preserve">emmotoka</t>
  </si>
  <si>
    <t xml:space="preserve">Father bought a new car. It is white. Every morning he drives it to work.</t>
  </si>
  <si>
    <t xml:space="preserve">PG-005</t>
  </si>
  <si>
    <t xml:space="preserve">Abaana bazze okuva ku ssomero. Balumwa enjala nnyo. Maama abawadde emmere.</t>
  </si>
  <si>
    <t xml:space="preserve">Abaana bazze okuva ku ssomero. Balumwa enjala nnyo. Maama amuwadde emmere.</t>
  </si>
  <si>
    <t xml:space="preserve">abaana</t>
  </si>
  <si>
    <t xml:space="preserve">cl2 → cl1 (-ba- → -mu-)</t>
  </si>
  <si>
    <t xml:space="preserve">The children have come back from school. They are very hungry. Mother has given them food.</t>
  </si>
  <si>
    <t xml:space="preserve">PG-006</t>
  </si>
  <si>
    <t xml:space="preserve">Omwana yagudde ku kkubo. Yakaaba nnyo. Nnyina yamusitudde.</t>
  </si>
  <si>
    <t xml:space="preserve">Omwana yagudde ku kkubo. Yakaaba nnyo. Nnyina yakisitudde.</t>
  </si>
  <si>
    <t xml:space="preserve">omwana</t>
  </si>
  <si>
    <t xml:space="preserve">cl1 → cl7 (-mu- → -ki-)</t>
  </si>
  <si>
    <t xml:space="preserve">The child fell on the road. He/she cried a lot. His/her mother picked him/her up.</t>
  </si>
  <si>
    <t xml:space="preserve">PG-007</t>
  </si>
  <si>
    <t xml:space="preserve">Twagula amazzi mu dduuka. Gaali manyogovu. Twaganywa mangu.</t>
  </si>
  <si>
    <t xml:space="preserve">Twagula amazzi mu dduuka. Gaali manyogovu. Twakinywa mangu.</t>
  </si>
  <si>
    <t xml:space="preserve">amazzi</t>
  </si>
  <si>
    <t xml:space="preserve">cl6 → cl7 (-ga- → -ki-)</t>
  </si>
  <si>
    <t xml:space="preserve">We bought water in the shop. It was cold. We drank it quickly.</t>
  </si>
  <si>
    <t xml:space="preserve">PG-008</t>
  </si>
  <si>
    <t xml:space="preserve">Kampala kye kibuga ekikulu kya Uganda. Kirimu abantu bangi. Abagenyi bangi bakyagala.</t>
  </si>
  <si>
    <t xml:space="preserve">Kampala kye kibuga ekikulu kya Uganda. Kirimu abantu bangi. Abagenyi bangi bagyagala.</t>
  </si>
  <si>
    <t xml:space="preserve">ekibuga</t>
  </si>
  <si>
    <t xml:space="preserve">cl7 → cl9 (-ki- → -gi-)</t>
  </si>
  <si>
    <t xml:space="preserve">Kampala is the capital city of Uganda. It has many people. Many visitors love it.</t>
  </si>
  <si>
    <t xml:space="preserve">PG-009</t>
  </si>
  <si>
    <t xml:space="preserve">Bazadde bange bazimbye ennyumba empya. Erina ebisenge bina. Buli muntu agyagala.</t>
  </si>
  <si>
    <t xml:space="preserve">Bazadde bange bazimbye ennyumba empya. Erina ebisenge bina. Buli muntu akyagala.</t>
  </si>
  <si>
    <t xml:space="preserve">ennyumba</t>
  </si>
  <si>
    <t xml:space="preserve">My parents have built a new house. It has four rooms. Everybody likes it.</t>
  </si>
  <si>
    <t xml:space="preserve">PG-010</t>
  </si>
  <si>
    <t xml:space="preserve">Nnaguze olugoye olulungi. Lwa langi emmyufu. Nja kulwambala ku Ssande.</t>
  </si>
  <si>
    <t xml:space="preserve">Nnaguze olugoye olulungi. Lwa langi emmyufu. Nja kukyambala ku Ssande.</t>
  </si>
  <si>
    <t xml:space="preserve">olugoye</t>
  </si>
  <si>
    <t xml:space="preserve">cl11 → cl7 (-lu- → -ki-)</t>
  </si>
  <si>
    <t xml:space="preserve">I bought a nice cloth. It is red. I will wear it on Sunday.</t>
  </si>
  <si>
    <t xml:space="preserve">PG-011</t>
  </si>
  <si>
    <t xml:space="preserve">Taata yasimbye emiti mingi. Kati giwanvu nnyo. Tugifukirira buli lunaku.</t>
  </si>
  <si>
    <t xml:space="preserve">Taata yasimbye emiti mingi. Kati giwanvu nnyo. Tugufukirira buli lunaku.</t>
  </si>
  <si>
    <t xml:space="preserve">emiti</t>
  </si>
  <si>
    <t xml:space="preserve">cl4 → cl3 (-gi- → -gu-)</t>
  </si>
  <si>
    <t xml:space="preserve">Father planted many trees. Now they are very tall. We water them every day.</t>
  </si>
  <si>
    <t xml:space="preserve">PG-012</t>
  </si>
  <si>
    <t xml:space="preserve">Omusomesa yatuwadde ebitabo bisatu. Biwandiikiddwa mu Luganda. Tubisoma buli lunaku.</t>
  </si>
  <si>
    <t xml:space="preserve">Omusomesa yatuwadde ebitabo bisatu. Biwandiikiddwa mu Luganda. Tukisoma buli lunaku.</t>
  </si>
  <si>
    <t xml:space="preserve">ebitabo</t>
  </si>
  <si>
    <t xml:space="preserve">cl8 → cl7 (-bi- → -ki-)</t>
  </si>
  <si>
    <t xml:space="preserve">The teacher gave us three books. They are written in Luganda. We read them every day.</t>
  </si>
  <si>
    <t xml:space="preserve">PG-013</t>
  </si>
  <si>
    <t xml:space="preserve">Maama alina akambe akasongovu. Kasala bulungi nnyo. Akakozesa okusala enva.</t>
  </si>
  <si>
    <t xml:space="preserve">Maama alina akambe akasongovu. Kasala bulungi nnyo. Akikozesa okusala enva.</t>
  </si>
  <si>
    <t xml:space="preserve">akambe</t>
  </si>
  <si>
    <t xml:space="preserve">cl12 → cl7 (-ka- → -ki-)</t>
  </si>
  <si>
    <t xml:space="preserve">Mother has a sharp knife. It cuts very well. She uses it to cut vegetables.</t>
  </si>
  <si>
    <t xml:space="preserve">PG-014</t>
  </si>
  <si>
    <t xml:space="preserve">Jjajja alina ente nnyingi. Zirya omuddo mu nnimiro. Buli kawungeezi azikomyawo eka.</t>
  </si>
  <si>
    <t xml:space="preserve">Jjajja alina ente nnyingi. Zirya omuddo mu nnimiro. Buli kawungeezi agikomyawo eka.</t>
  </si>
  <si>
    <t xml:space="preserve">ente (plural)</t>
  </si>
  <si>
    <t xml:space="preserve">cl10 → cl9 (-zi- → -gi-)</t>
  </si>
  <si>
    <t xml:space="preserve">Grandparent has many cows. They eat grass in the field. Every evening he/she brings them home.</t>
  </si>
  <si>
    <t xml:space="preserve">This switch changes number (plural → singular) in the same noun class pair.</t>
  </si>
  <si>
    <t xml:space="preserve">PG-015</t>
  </si>
  <si>
    <t xml:space="preserve">Mu kyalo kyaffe mulimu omugga omunene. Gukulukuta okuva ku lusozi. Abantu bagukozesa okunaaba.</t>
  </si>
  <si>
    <t xml:space="preserve">Mu kyalo kyaffe mulimu omugga omunene. Gukulukuta okuva ku lusozi. Abantu bakikozesa okunaaba.</t>
  </si>
  <si>
    <t xml:space="preserve">omugga</t>
  </si>
  <si>
    <t xml:space="preserve">In our village there is a big river. It flows from the hill. People use it for bathing.</t>
  </si>
  <si>
    <t xml:space="preserve">PG-016</t>
  </si>
  <si>
    <t xml:space="preserve">Nnaguze amagi kkumi mu katale. Gaali mapya. Maama yagafumbye ku makya.</t>
  </si>
  <si>
    <t xml:space="preserve">Nnaguze amagi kkumi mu katale. Gaali mapya. Maama yagifumbye ku makya.</t>
  </si>
  <si>
    <t xml:space="preserve">amagi</t>
  </si>
  <si>
    <t xml:space="preserve">cl6 → cl9 (-ga- → -gi-)</t>
  </si>
  <si>
    <t xml:space="preserve">I bought ten eggs in the market. They were fresh. Mother cooked them in the morning.</t>
  </si>
  <si>
    <t xml:space="preserve">PG-017</t>
  </si>
  <si>
    <t xml:space="preserve">Ku kkubo waliwo ejjinja eddene. Lizibye ekkubo. Abasajja balisitudde.</t>
  </si>
  <si>
    <t xml:space="preserve">Ku kkubo waliwo ejjinja eddene. Lizibye ekkubo. Abasajja bakisitudde.</t>
  </si>
  <si>
    <t xml:space="preserve">ejjinja</t>
  </si>
  <si>
    <t xml:space="preserve">cl5 → cl7 (-li- → -ki-)</t>
  </si>
  <si>
    <t xml:space="preserve">On the road there is a big stone. It has blocked the road. The men have lifted it.</t>
  </si>
  <si>
    <t xml:space="preserve">balisitudde could also be read as a future form; check.</t>
  </si>
  <si>
    <t xml:space="preserve">PG-018</t>
  </si>
  <si>
    <t xml:space="preserve">Omwana yamenye ekikopo. Kyali kya maama. Kati kiri mu bitundu bibiri.</t>
  </si>
  <si>
    <t xml:space="preserve">Omwana yamenye ekikopo. Kyali kya maama. Kati guli mu bitundu bibiri.</t>
  </si>
  <si>
    <t xml:space="preserve">ekikopo</t>
  </si>
  <si>
    <t xml:space="preserve">cl7 → cl3 (ki- → gu-)</t>
  </si>
  <si>
    <t xml:space="preserve">The child broke the cup. It was mother's. Now it is in two pieces.</t>
  </si>
  <si>
    <t xml:space="preserve">PG-019</t>
  </si>
  <si>
    <t xml:space="preserve">Abagenyi batuuse ku ssaawa ttaano. Baali bakooye nnyo. Twabawadde amazzi okunywa.</t>
  </si>
  <si>
    <t xml:space="preserve">Abagenyi batuuse ku ssaawa ttaano. Baali bakooye nnyo. Twamuwadde amazzi okunywa.</t>
  </si>
  <si>
    <t xml:space="preserve">abagenyi</t>
  </si>
  <si>
    <t xml:space="preserve">The guests arrived at eleven o'clock. They were very tired. We gave them water to drink.</t>
  </si>
  <si>
    <t xml:space="preserve">PG-020</t>
  </si>
  <si>
    <t xml:space="preserve">Kizza yaguze embuzi mu katale. Erina amaaso amaddugavu. Agisibye wansi w'omuti.</t>
  </si>
  <si>
    <t xml:space="preserve">Kizza yaguze embuzi mu katale. Erina amaaso amaddugavu. Akisibye wansi w'omuti.</t>
  </si>
  <si>
    <t xml:space="preserve">embuzi</t>
  </si>
  <si>
    <t xml:space="preserve">Kizza bought a goat in the market. It has black eyes. He has tied it under a tree.</t>
  </si>
  <si>
    <t xml:space="preserve">PG-021</t>
  </si>
  <si>
    <t xml:space="preserve">Abaana baguze omupiira omuggya. Gwa langi ya kyenvu. Bagusambye olunaku lwonna.</t>
  </si>
  <si>
    <t xml:space="preserve">Abaana baguze omupiira omuggya. Gwa langi ya kyenvu. Bakisambye olunaku lwonna.</t>
  </si>
  <si>
    <t xml:space="preserve">omupiira</t>
  </si>
  <si>
    <t xml:space="preserve">The children bought a new ball. It is yellow. They have kicked it all day.</t>
  </si>
  <si>
    <t xml:space="preserve">PG-022</t>
  </si>
  <si>
    <t xml:space="preserve">Essomero lyaffe liri ku lusozi. Lirina abayizi bangi. Lyatandika emyaka mingi emabega.</t>
  </si>
  <si>
    <t xml:space="preserve">Essomero lyaffe liri ku lusozi. Lirina abayizi bangi. Kyatandika emyaka mingi emabega.</t>
  </si>
  <si>
    <t xml:space="preserve">essomero</t>
  </si>
  <si>
    <t xml:space="preserve">cl5 → cl7 (lya- → kya-)</t>
  </si>
  <si>
    <t xml:space="preserve">Our school is on the hill. It has many students. It started many years ago.</t>
  </si>
  <si>
    <t xml:space="preserve">PG-023</t>
  </si>
  <si>
    <t xml:space="preserve">Ku mugga waliwo olutindo oluggya. Luzimbiddwa mu kyuma. Abantu bangi baluyitako buli lunaku.</t>
  </si>
  <si>
    <t xml:space="preserve">Ku mugga waliwo olutindo oluggya. Luzimbiddwa mu kyuma. Abantu bangi bakiyitako buli lunaku.</t>
  </si>
  <si>
    <t xml:space="preserve">olutindo</t>
  </si>
  <si>
    <t xml:space="preserve">On the river there is a new bridge. It is built of iron. Many people cross it every day.</t>
  </si>
  <si>
    <t xml:space="preserve">PG-024</t>
  </si>
  <si>
    <t xml:space="preserve">Nnalabye ekinyonyi ekirungi ku muti. Kyali kya langi ya bbululu. Kyabuuse mangu ddala.</t>
  </si>
  <si>
    <t xml:space="preserve">Nnalabye ekinyonyi ekirungi ku muti. Kyali kya langi ya bbululu. Gwabuuse mangu ddala.</t>
  </si>
  <si>
    <t xml:space="preserve">ekinyonyi</t>
  </si>
  <si>
    <t xml:space="preserve">cl7 → cl3 (kya- → gwa-)</t>
  </si>
  <si>
    <t xml:space="preserve">I saw a beautiful bird on a tree. It was blue. It flew away very quickly.</t>
  </si>
  <si>
    <t xml:space="preserve">PG-025</t>
  </si>
  <si>
    <t xml:space="preserve">Maama yafumbye amatooke. Gaali gawooma nnyo. Twagalidde ku kyeggulo.</t>
  </si>
  <si>
    <t xml:space="preserve">Maama yafumbye amatooke. Gaali gawooma nnyo. Twakiridde ku kyeggulo.</t>
  </si>
  <si>
    <t xml:space="preserve">amatooke</t>
  </si>
  <si>
    <t xml:space="preserve">Mother cooked matooke. It was very tasty. We ate it at supper.</t>
  </si>
  <si>
    <t xml:space="preserve">PG-026</t>
  </si>
  <si>
    <t xml:space="preserve">Nnafunye ebbaluwa okuva ewa mukwano gwange. Yali mpanvu nnyo. Nnagisomye emirundi ebiri.</t>
  </si>
  <si>
    <t xml:space="preserve">Nnafunye ebbaluwa okuva ewa mukwano gwange. Yali mpanvu nnyo. Nnakisomye emirundi ebiri.</t>
  </si>
  <si>
    <t xml:space="preserve">ebbaluwa</t>
  </si>
  <si>
    <t xml:space="preserve">I received a letter from my friend. It was very long. I read it two times.</t>
  </si>
  <si>
    <t xml:space="preserve">PG-027</t>
  </si>
  <si>
    <t xml:space="preserve">Abayizi bayize oluyimba oluggya. Lunyuma nnyo. Baluyimba buli ku makya.</t>
  </si>
  <si>
    <t xml:space="preserve">Abayizi bayize oluyimba oluggya. Lunyuma nnyo. Bakiyimba buli ku makya.</t>
  </si>
  <si>
    <t xml:space="preserve">oluyimba</t>
  </si>
  <si>
    <t xml:space="preserve">The students have learned a new song. It is very nice. They sing it every morning.</t>
  </si>
  <si>
    <t xml:space="preserve">PG-028</t>
  </si>
  <si>
    <t xml:space="preserve">Jjajja abeera mu kyalo ekitono. Kiri wala okuva e Kampala. Tukikyalira buli Ssekukkulu.</t>
  </si>
  <si>
    <t xml:space="preserve">Jjajja abeera mu kyalo ekitono. Kiri wala okuva e Kampala. Tugukyalira buli Ssekukkulu.</t>
  </si>
  <si>
    <t xml:space="preserve">ekyalo</t>
  </si>
  <si>
    <t xml:space="preserve">cl7 → cl3 (-ki- → -gu-)</t>
  </si>
  <si>
    <t xml:space="preserve">Grandparent lives in a small village. It is far from Kampala. We visit it every Christmas.</t>
  </si>
  <si>
    <t xml:space="preserve">PG-029</t>
  </si>
  <si>
    <t xml:space="preserve">Omusomesa waffe mulungi nnyo. Atusomesa okubala. Abayizi bonna bamwagala.</t>
  </si>
  <si>
    <t xml:space="preserve">Omusomesa waffe mulungi nnyo. Atusomesa okubala. Abayizi bonna bakyagala.</t>
  </si>
  <si>
    <t xml:space="preserve">omusomesa</t>
  </si>
  <si>
    <t xml:space="preserve">Our teacher is very good. He/she teaches us mathematics. All the students love him/her.</t>
  </si>
  <si>
    <t xml:space="preserve">PG-030</t>
  </si>
  <si>
    <t xml:space="preserve">Maama yafumbye emmere nnyingi. Yali ewooma nnyo. Abagenyi bonna baagiridde.</t>
  </si>
  <si>
    <t xml:space="preserve">Maama yafumbye emmere nnyingi. Yali ewooma nnyo. Abagenyi bonna baakiridde.</t>
  </si>
  <si>
    <t xml:space="preserve">emmere</t>
  </si>
  <si>
    <t xml:space="preserve">Mother cooked a lot of food. It was very tasty. All the guests ate it.</t>
  </si>
  <si>
    <t xml:space="preserve">form_a</t>
  </si>
  <si>
    <t xml:space="preserve">form_b</t>
  </si>
  <si>
    <t xml:space="preserve">variation_type</t>
  </si>
  <si>
    <t xml:space="preserve">fixed_form_a</t>
  </si>
  <si>
    <t xml:space="preserve">fixed_form_b</t>
  </si>
  <si>
    <t xml:space="preserve">VA-001</t>
  </si>
  <si>
    <t xml:space="preserve">Nze ngenda ku ssomero.</t>
  </si>
  <si>
    <t xml:space="preserve">spelling (ŋŋ / ng)</t>
  </si>
  <si>
    <t xml:space="preserve">VA-002</t>
  </si>
  <si>
    <t xml:space="preserve">Weebale nnyo.</t>
  </si>
  <si>
    <t xml:space="preserve">Webale nnyo.</t>
  </si>
  <si>
    <t xml:space="preserve">Thank you very much.</t>
  </si>
  <si>
    <t xml:space="preserve">spelling (ee / e)</t>
  </si>
  <si>
    <t xml:space="preserve">VA-003</t>
  </si>
  <si>
    <t xml:space="preserve">Maama agenda mu katale.</t>
  </si>
  <si>
    <t xml:space="preserve">Maama bagenda mu katale.</t>
  </si>
  <si>
    <t xml:space="preserve">Mother is going to the market.</t>
  </si>
  <si>
    <t xml:space="preserve">honorific plural</t>
  </si>
  <si>
    <t xml:space="preserve">VA-004</t>
  </si>
  <si>
    <t xml:space="preserve">Nja kugenda e Kampala.</t>
  </si>
  <si>
    <t xml:space="preserve">Nnaagenda e Kampala.</t>
  </si>
  <si>
    <t xml:space="preserve">I will go to Kampala.</t>
  </si>
  <si>
    <t xml:space="preserve">future form (ja ku- / -naa-)</t>
  </si>
  <si>
    <t xml:space="preserve">VA-005</t>
  </si>
  <si>
    <t xml:space="preserve">Ennyumba yange nnene.</t>
  </si>
  <si>
    <t xml:space="preserve">Enju yange nnene.</t>
  </si>
  <si>
    <t xml:space="preserve">My house is big.</t>
  </si>
  <si>
    <t xml:space="preserve">synonym (ennyumba / enju)</t>
  </si>
  <si>
    <t xml:space="preserve">VA-006</t>
  </si>
  <si>
    <t xml:space="preserve">Tewali kizibu.</t>
  </si>
  <si>
    <t xml:space="preserve">Tewali buzibu.</t>
  </si>
  <si>
    <t xml:space="preserve">There is no problem.</t>
  </si>
  <si>
    <t xml:space="preserve">noun class of the noun (ki- / bu-)</t>
  </si>
  <si>
    <t xml:space="preserve">VA-007</t>
  </si>
  <si>
    <t xml:space="preserve">Simanyi.</t>
  </si>
  <si>
    <t xml:space="preserve">Sikimanyi.</t>
  </si>
  <si>
    <t xml:space="preserve">I do not know.</t>
  </si>
  <si>
    <t xml:space="preserve">optional object marker</t>
  </si>
  <si>
    <t xml:space="preserve">VA-008</t>
  </si>
  <si>
    <t xml:space="preserve">Atuuse.</t>
  </si>
  <si>
    <t xml:space="preserve">Yatuuse.</t>
  </si>
  <si>
    <t xml:space="preserve">He/she has arrived.</t>
  </si>
  <si>
    <t xml:space="preserve">perfect / recent past</t>
  </si>
  <si>
    <t xml:space="preserve">VA-009</t>
  </si>
  <si>
    <t xml:space="preserve">Nnalaba omwana.</t>
  </si>
  <si>
    <t xml:space="preserve">Omwana nnamulaba.</t>
  </si>
  <si>
    <t xml:space="preserve">I saw the child.</t>
  </si>
  <si>
    <t xml:space="preserve">word order with object marker</t>
  </si>
  <si>
    <t xml:space="preserve">VA-010</t>
  </si>
  <si>
    <t xml:space="preserve">Kale.</t>
  </si>
  <si>
    <t xml:space="preserve">Kaale.</t>
  </si>
  <si>
    <t xml:space="preserve">Okay.</t>
  </si>
  <si>
    <t xml:space="preserve">spelling (a / aa)</t>
  </si>
  <si>
    <t xml:space="preserve">VA-011</t>
  </si>
  <si>
    <t xml:space="preserve">Nnina ssente.</t>
  </si>
  <si>
    <t xml:space="preserve">Nnina sente.</t>
  </si>
  <si>
    <t xml:space="preserve">I have money.</t>
  </si>
  <si>
    <t xml:space="preserve">spelling (ss / s)</t>
  </si>
  <si>
    <t xml:space="preserve">VA-012</t>
  </si>
  <si>
    <t xml:space="preserve">Ali e Kampala.</t>
  </si>
  <si>
    <t xml:space="preserve">Ali mu Kampala.</t>
  </si>
  <si>
    <t xml:space="preserve">He/she is in Kampala.</t>
  </si>
  <si>
    <t xml:space="preserve">locative (e / mu)</t>
  </si>
  <si>
    <t xml:space="preserve">VA-013</t>
  </si>
  <si>
    <t xml:space="preserve">Jjajja ajja enkya.</t>
  </si>
  <si>
    <t xml:space="preserve">Jjajja bajja enkya.</t>
  </si>
  <si>
    <t xml:space="preserve">Grandparent is coming tomorrow.</t>
  </si>
  <si>
    <t xml:space="preserve">VA-014</t>
  </si>
  <si>
    <t xml:space="preserve">Omusajja gwe nnalaba yagenda.</t>
  </si>
  <si>
    <t xml:space="preserve">Omusajja nnalaba yagenda.</t>
  </si>
  <si>
    <t xml:space="preserve">The man that I saw went away.</t>
  </si>
  <si>
    <t xml:space="preserve">optional relative pronoun</t>
  </si>
  <si>
    <t xml:space="preserve">Not sure that the short form is accepted.</t>
  </si>
  <si>
    <t xml:space="preserve">VA-015</t>
  </si>
  <si>
    <t xml:space="preserve">Yali agenda.</t>
  </si>
  <si>
    <t xml:space="preserve">Yali ng'agenda.</t>
  </si>
  <si>
    <t xml:space="preserve">He/she was going.</t>
  </si>
  <si>
    <t xml:space="preserve">progressive form</t>
  </si>
  <si>
    <t xml:space="preserve">VA-016</t>
  </si>
  <si>
    <t xml:space="preserve">Webale okujja.</t>
  </si>
  <si>
    <t xml:space="preserve">Webale kujja.</t>
  </si>
  <si>
    <t xml:space="preserve">Thank you for coming.</t>
  </si>
  <si>
    <t xml:space="preserve">optional augment on the infinitive</t>
  </si>
  <si>
    <t xml:space="preserve">VA-017</t>
  </si>
  <si>
    <t xml:space="preserve">Weebale ssebo.</t>
  </si>
  <si>
    <t xml:space="preserve">Weebale sebo.</t>
  </si>
  <si>
    <t xml:space="preserve">Thank you, sir.</t>
  </si>
  <si>
    <t xml:space="preserve">VA-018</t>
  </si>
  <si>
    <t xml:space="preserve">Leero enkuba etonnya.</t>
  </si>
  <si>
    <t xml:space="preserve">Enkuba etonnya leero.</t>
  </si>
  <si>
    <t xml:space="preserve">Today it is raining.</t>
  </si>
  <si>
    <t xml:space="preserve">word order</t>
  </si>
  <si>
    <t xml:space="preserve">VA-019</t>
  </si>
  <si>
    <t xml:space="preserve">Nnyabo, weebale.</t>
  </si>
  <si>
    <t xml:space="preserve">Nyabo, weebale.</t>
  </si>
  <si>
    <t xml:space="preserve">Madam, thank you.</t>
  </si>
  <si>
    <t xml:space="preserve">spelling (nny / ny)</t>
  </si>
  <si>
    <t xml:space="preserve">VA-020</t>
  </si>
  <si>
    <t xml:space="preserve">Taata yagenze ku mulimu.</t>
  </si>
  <si>
    <t xml:space="preserve">Taata baagenze ku mulimu.</t>
  </si>
  <si>
    <t xml:space="preserve">Father has gone to work.</t>
  </si>
  <si>
    <t xml:space="preserve">sheet / error type</t>
  </si>
  <si>
    <t xml:space="preserve">total</t>
  </si>
  <si>
    <t xml:space="preserve">OK</t>
  </si>
  <si>
    <t xml:space="preserve">FIXED</t>
  </si>
  <si>
    <t xml:space="preserve">DROP</t>
  </si>
  <si>
    <t xml:space="preserve">usable (OK + FIXED)</t>
  </si>
  <si>
    <t xml:space="preserve">minimal_pairs: noun_class_agreement</t>
  </si>
  <si>
    <t xml:space="preserve">minimal_pairs: subject_object_marker</t>
  </si>
  <si>
    <t xml:space="preserve">minimal_pairs: tense_aspect</t>
  </si>
  <si>
    <t xml:space="preserve">minimal_pairs: negation</t>
  </si>
  <si>
    <t xml:space="preserve">paragraphs</t>
  </si>
  <si>
    <t xml:space="preserve">variation</t>
  </si>
  <si>
    <t xml:space="preserve">all</t>
  </si>
</sst>
</file>

<file path=xl/styles.xml><?xml version="1.0" encoding="utf-8"?>
<styleSheet xmlns="http://schemas.openxmlformats.org/spreadsheetml/2006/main">
  <numFmts count="1">
    <numFmt numFmtId="164" formatCode="General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Arial"/>
      <family val="0"/>
      <charset val="1"/>
    </font>
    <font>
      <sz val="11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color rgb="FF000000"/>
      <name val="Arial"/>
      <family val="0"/>
      <charset val="1"/>
    </font>
    <font>
      <b val="true"/>
      <sz val="11"/>
      <color rgb="FF000000"/>
      <name val="Arial"/>
      <family val="0"/>
      <charset val="1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FFF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0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/>
    </row>
    <row r="3" customFormat="false" ht="15" hidden="false" customHeight="false" outlineLevel="0" collapsed="false">
      <c r="A3" s="2" t="s">
        <v>1</v>
      </c>
    </row>
    <row r="4" customFormat="false" ht="15" hidden="false" customHeight="false" outlineLevel="0" collapsed="false">
      <c r="A4" s="2" t="s">
        <v>2</v>
      </c>
    </row>
    <row r="5" customFormat="false" ht="15" hidden="false" customHeight="false" outlineLevel="0" collapsed="false">
      <c r="A5" s="2"/>
    </row>
    <row r="6" customFormat="false" ht="15" hidden="false" customHeight="false" outlineLevel="0" collapsed="false">
      <c r="A6" s="3" t="s">
        <v>3</v>
      </c>
    </row>
    <row r="7" customFormat="false" ht="15" hidden="false" customHeight="false" outlineLevel="0" collapsed="false">
      <c r="A7" s="2" t="s">
        <v>4</v>
      </c>
    </row>
    <row r="8" customFormat="false" ht="15" hidden="false" customHeight="false" outlineLevel="0" collapsed="false">
      <c r="A8" s="2" t="s">
        <v>5</v>
      </c>
    </row>
    <row r="9" customFormat="false" ht="15" hidden="false" customHeight="false" outlineLevel="0" collapsed="false">
      <c r="A9" s="2" t="s">
        <v>6</v>
      </c>
    </row>
    <row r="10" customFormat="false" ht="26.85" hidden="false" customHeight="false" outlineLevel="0" collapsed="false">
      <c r="A10" s="2" t="s">
        <v>7</v>
      </c>
    </row>
    <row r="11" customFormat="false" ht="15" hidden="false" customHeight="false" outlineLevel="0" collapsed="false">
      <c r="A11" s="2" t="s">
        <v>8</v>
      </c>
    </row>
    <row r="12" customFormat="false" ht="15" hidden="false" customHeight="false" outlineLevel="0" collapsed="false">
      <c r="A12" s="2" t="s">
        <v>9</v>
      </c>
    </row>
    <row r="13" customFormat="false" ht="15" hidden="false" customHeight="false" outlineLevel="0" collapsed="false">
      <c r="A13" s="2"/>
    </row>
    <row r="14" customFormat="false" ht="15" hidden="false" customHeight="false" outlineLevel="0" collapsed="false">
      <c r="A14" s="3" t="s">
        <v>10</v>
      </c>
    </row>
    <row r="15" customFormat="false" ht="15" hidden="false" customHeight="false" outlineLevel="0" collapsed="false">
      <c r="A15" s="2" t="s">
        <v>11</v>
      </c>
    </row>
    <row r="16" customFormat="false" ht="15" hidden="false" customHeight="false" outlineLevel="0" collapsed="false">
      <c r="A16" s="2" t="s">
        <v>12</v>
      </c>
    </row>
    <row r="17" customFormat="false" ht="26.85" hidden="false" customHeight="false" outlineLevel="0" collapsed="false">
      <c r="A17" s="2" t="s">
        <v>13</v>
      </c>
    </row>
    <row r="18" customFormat="false" ht="15" hidden="false" customHeight="false" outlineLevel="0" collapsed="false">
      <c r="A18" s="2"/>
    </row>
    <row r="19" customFormat="false" ht="15" hidden="false" customHeight="false" outlineLevel="0" collapsed="false">
      <c r="A19" s="3" t="s">
        <v>14</v>
      </c>
    </row>
    <row r="20" customFormat="false" ht="15" hidden="false" customHeight="false" outlineLevel="0" collapsed="false">
      <c r="A20" s="2" t="s">
        <v>15</v>
      </c>
    </row>
    <row r="21" customFormat="false" ht="15" hidden="false" customHeight="false" outlineLevel="0" collapsed="false">
      <c r="A21" s="2" t="s">
        <v>16</v>
      </c>
    </row>
    <row r="22" customFormat="false" ht="15" hidden="false" customHeight="false" outlineLevel="0" collapsed="false">
      <c r="A22" s="2" t="s">
        <v>17</v>
      </c>
    </row>
    <row r="23" customFormat="false" ht="15" hidden="false" customHeight="false" outlineLevel="0" collapsed="false">
      <c r="A23" s="2" t="s">
        <v>18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2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20"/>
    <col collapsed="false" customWidth="true" hidden="false" outlineLevel="0" max="4" min="3" style="0" width="38"/>
    <col collapsed="false" customWidth="true" hidden="false" outlineLevel="0" max="5" min="5" style="0" width="34"/>
    <col collapsed="false" customWidth="true" hidden="false" outlineLevel="0" max="6" min="6" style="0" width="26"/>
    <col collapsed="false" customWidth="true" hidden="false" outlineLevel="0" max="7" min="7" style="0" width="30"/>
    <col collapsed="false" customWidth="true" hidden="false" outlineLevel="0" max="8" min="8" style="0" width="11"/>
    <col collapsed="false" customWidth="true" hidden="false" outlineLevel="0" max="9" min="9" style="0" width="10"/>
    <col collapsed="false" customWidth="true" hidden="false" outlineLevel="0" max="11" min="10" style="0" width="34"/>
    <col collapsed="false" customWidth="true" hidden="false" outlineLevel="0" max="12" min="12" style="0" width="30"/>
  </cols>
  <sheetData>
    <row r="1" customFormat="false" ht="39.55" hidden="false" customHeight="false" outlineLevel="0" collapsed="false">
      <c r="A1" s="4" t="s">
        <v>19</v>
      </c>
      <c r="B1" s="4" t="s">
        <v>20</v>
      </c>
      <c r="C1" s="4" t="s">
        <v>21</v>
      </c>
      <c r="D1" s="4" t="s">
        <v>22</v>
      </c>
      <c r="E1" s="4" t="s">
        <v>23</v>
      </c>
      <c r="F1" s="4" t="s">
        <v>24</v>
      </c>
      <c r="G1" s="4" t="s">
        <v>25</v>
      </c>
      <c r="H1" s="4" t="s">
        <v>26</v>
      </c>
      <c r="I1" s="4" t="s">
        <v>27</v>
      </c>
      <c r="J1" s="4" t="s">
        <v>28</v>
      </c>
      <c r="K1" s="4" t="s">
        <v>29</v>
      </c>
      <c r="L1" s="4" t="s">
        <v>30</v>
      </c>
    </row>
    <row r="2" customFormat="false" ht="26.85" hidden="false" customHeight="false" outlineLevel="0" collapsed="false">
      <c r="A2" s="5" t="s">
        <v>31</v>
      </c>
      <c r="B2" s="5" t="s">
        <v>32</v>
      </c>
      <c r="C2" s="5" t="s">
        <v>33</v>
      </c>
      <c r="D2" s="5" t="s">
        <v>34</v>
      </c>
      <c r="E2" s="5" t="s">
        <v>35</v>
      </c>
      <c r="F2" s="5" t="s">
        <v>36</v>
      </c>
      <c r="G2" s="5"/>
      <c r="H2" s="5" t="s">
        <v>37</v>
      </c>
      <c r="I2" s="6" t="s">
        <v>38</v>
      </c>
      <c r="J2" s="6"/>
      <c r="K2" s="6"/>
      <c r="L2" s="6"/>
    </row>
    <row r="3" customFormat="false" ht="26.85" hidden="false" customHeight="false" outlineLevel="0" collapsed="false">
      <c r="A3" s="5" t="s">
        <v>39</v>
      </c>
      <c r="B3" s="5" t="s">
        <v>32</v>
      </c>
      <c r="C3" s="5" t="s">
        <v>40</v>
      </c>
      <c r="D3" s="5" t="s">
        <v>41</v>
      </c>
      <c r="E3" s="5" t="s">
        <v>42</v>
      </c>
      <c r="F3" s="5" t="s">
        <v>43</v>
      </c>
      <c r="G3" s="5"/>
      <c r="H3" s="5" t="s">
        <v>37</v>
      </c>
      <c r="I3" s="6" t="s">
        <v>38</v>
      </c>
      <c r="J3" s="6"/>
      <c r="K3" s="6"/>
      <c r="L3" s="6"/>
    </row>
    <row r="4" customFormat="false" ht="26.85" hidden="false" customHeight="false" outlineLevel="0" collapsed="false">
      <c r="A4" s="5" t="s">
        <v>44</v>
      </c>
      <c r="B4" s="5" t="s">
        <v>32</v>
      </c>
      <c r="C4" s="5" t="s">
        <v>45</v>
      </c>
      <c r="D4" s="5" t="s">
        <v>46</v>
      </c>
      <c r="E4" s="5" t="s">
        <v>47</v>
      </c>
      <c r="F4" s="5" t="s">
        <v>48</v>
      </c>
      <c r="G4" s="5"/>
      <c r="H4" s="5" t="s">
        <v>37</v>
      </c>
      <c r="I4" s="6" t="s">
        <v>38</v>
      </c>
      <c r="J4" s="6"/>
      <c r="K4" s="6"/>
      <c r="L4" s="6"/>
    </row>
    <row r="5" customFormat="false" ht="26.85" hidden="false" customHeight="false" outlineLevel="0" collapsed="false">
      <c r="A5" s="5" t="s">
        <v>49</v>
      </c>
      <c r="B5" s="5" t="s">
        <v>32</v>
      </c>
      <c r="C5" s="5" t="s">
        <v>50</v>
      </c>
      <c r="D5" s="5" t="s">
        <v>51</v>
      </c>
      <c r="E5" s="5" t="s">
        <v>52</v>
      </c>
      <c r="F5" s="5" t="s">
        <v>53</v>
      </c>
      <c r="G5" s="5"/>
      <c r="H5" s="5" t="s">
        <v>37</v>
      </c>
      <c r="I5" s="6" t="s">
        <v>38</v>
      </c>
      <c r="J5" s="6"/>
      <c r="K5" s="6"/>
      <c r="L5" s="6"/>
    </row>
    <row r="6" customFormat="false" ht="26.85" hidden="false" customHeight="false" outlineLevel="0" collapsed="false">
      <c r="A6" s="5" t="s">
        <v>54</v>
      </c>
      <c r="B6" s="5" t="s">
        <v>32</v>
      </c>
      <c r="C6" s="5" t="s">
        <v>55</v>
      </c>
      <c r="D6" s="5" t="s">
        <v>56</v>
      </c>
      <c r="E6" s="5" t="s">
        <v>57</v>
      </c>
      <c r="F6" s="5" t="s">
        <v>58</v>
      </c>
      <c r="G6" s="5"/>
      <c r="H6" s="5" t="s">
        <v>37</v>
      </c>
      <c r="I6" s="6" t="s">
        <v>38</v>
      </c>
      <c r="J6" s="6"/>
      <c r="K6" s="6"/>
      <c r="L6" s="6"/>
    </row>
    <row r="7" customFormat="false" ht="26.85" hidden="false" customHeight="false" outlineLevel="0" collapsed="false">
      <c r="A7" s="5" t="s">
        <v>59</v>
      </c>
      <c r="B7" s="5" t="s">
        <v>32</v>
      </c>
      <c r="C7" s="5" t="s">
        <v>60</v>
      </c>
      <c r="D7" s="5" t="s">
        <v>61</v>
      </c>
      <c r="E7" s="5" t="s">
        <v>62</v>
      </c>
      <c r="F7" s="5" t="s">
        <v>63</v>
      </c>
      <c r="G7" s="5"/>
      <c r="H7" s="5" t="s">
        <v>37</v>
      </c>
      <c r="I7" s="6" t="s">
        <v>38</v>
      </c>
      <c r="J7" s="6"/>
      <c r="K7" s="6"/>
      <c r="L7" s="6"/>
    </row>
    <row r="8" customFormat="false" ht="26.85" hidden="false" customHeight="false" outlineLevel="0" collapsed="false">
      <c r="A8" s="5" t="s">
        <v>64</v>
      </c>
      <c r="B8" s="5" t="s">
        <v>32</v>
      </c>
      <c r="C8" s="5" t="s">
        <v>65</v>
      </c>
      <c r="D8" s="5" t="s">
        <v>66</v>
      </c>
      <c r="E8" s="5" t="s">
        <v>67</v>
      </c>
      <c r="F8" s="5" t="s">
        <v>68</v>
      </c>
      <c r="G8" s="5"/>
      <c r="H8" s="5" t="s">
        <v>37</v>
      </c>
      <c r="I8" s="6" t="s">
        <v>38</v>
      </c>
      <c r="J8" s="6"/>
      <c r="K8" s="6"/>
      <c r="L8" s="6"/>
    </row>
    <row r="9" customFormat="false" ht="26.85" hidden="false" customHeight="false" outlineLevel="0" collapsed="false">
      <c r="A9" s="5" t="s">
        <v>69</v>
      </c>
      <c r="B9" s="5" t="s">
        <v>32</v>
      </c>
      <c r="C9" s="5" t="s">
        <v>70</v>
      </c>
      <c r="D9" s="5" t="s">
        <v>71</v>
      </c>
      <c r="E9" s="5" t="s">
        <v>72</v>
      </c>
      <c r="F9" s="5" t="s">
        <v>73</v>
      </c>
      <c r="G9" s="5" t="s">
        <v>74</v>
      </c>
      <c r="H9" s="5" t="s">
        <v>75</v>
      </c>
      <c r="I9" s="6" t="s">
        <v>38</v>
      </c>
      <c r="J9" s="6"/>
      <c r="K9" s="6"/>
      <c r="L9" s="6"/>
    </row>
    <row r="10" customFormat="false" ht="26.85" hidden="false" customHeight="false" outlineLevel="0" collapsed="false">
      <c r="A10" s="5" t="s">
        <v>76</v>
      </c>
      <c r="B10" s="5" t="s">
        <v>32</v>
      </c>
      <c r="C10" s="5" t="s">
        <v>77</v>
      </c>
      <c r="D10" s="5" t="s">
        <v>78</v>
      </c>
      <c r="E10" s="5" t="s">
        <v>79</v>
      </c>
      <c r="F10" s="5" t="s">
        <v>80</v>
      </c>
      <c r="G10" s="5"/>
      <c r="H10" s="5" t="s">
        <v>37</v>
      </c>
      <c r="I10" s="6" t="s">
        <v>38</v>
      </c>
      <c r="J10" s="6"/>
      <c r="K10" s="6"/>
      <c r="L10" s="6"/>
    </row>
    <row r="11" customFormat="false" ht="26.85" hidden="false" customHeight="false" outlineLevel="0" collapsed="false">
      <c r="A11" s="5" t="s">
        <v>81</v>
      </c>
      <c r="B11" s="5" t="s">
        <v>32</v>
      </c>
      <c r="C11" s="5" t="s">
        <v>82</v>
      </c>
      <c r="D11" s="5" t="s">
        <v>83</v>
      </c>
      <c r="E11" s="5" t="s">
        <v>84</v>
      </c>
      <c r="F11" s="5" t="s">
        <v>85</v>
      </c>
      <c r="G11" s="5"/>
      <c r="H11" s="5" t="s">
        <v>37</v>
      </c>
      <c r="I11" s="6" t="s">
        <v>38</v>
      </c>
      <c r="J11" s="6"/>
      <c r="K11" s="6"/>
      <c r="L11" s="6"/>
    </row>
    <row r="12" customFormat="false" ht="26.85" hidden="false" customHeight="false" outlineLevel="0" collapsed="false">
      <c r="A12" s="5" t="s">
        <v>86</v>
      </c>
      <c r="B12" s="5" t="s">
        <v>32</v>
      </c>
      <c r="C12" s="5" t="s">
        <v>87</v>
      </c>
      <c r="D12" s="5" t="s">
        <v>88</v>
      </c>
      <c r="E12" s="5" t="s">
        <v>89</v>
      </c>
      <c r="F12" s="5" t="s">
        <v>90</v>
      </c>
      <c r="G12" s="5"/>
      <c r="H12" s="5" t="s">
        <v>37</v>
      </c>
      <c r="I12" s="6" t="s">
        <v>38</v>
      </c>
      <c r="J12" s="6"/>
      <c r="K12" s="6"/>
      <c r="L12" s="6"/>
    </row>
    <row r="13" customFormat="false" ht="26.85" hidden="false" customHeight="false" outlineLevel="0" collapsed="false">
      <c r="A13" s="5" t="s">
        <v>91</v>
      </c>
      <c r="B13" s="5" t="s">
        <v>32</v>
      </c>
      <c r="C13" s="5" t="s">
        <v>92</v>
      </c>
      <c r="D13" s="5" t="s">
        <v>93</v>
      </c>
      <c r="E13" s="5" t="s">
        <v>94</v>
      </c>
      <c r="F13" s="5" t="s">
        <v>48</v>
      </c>
      <c r="G13" s="5"/>
      <c r="H13" s="5" t="s">
        <v>37</v>
      </c>
      <c r="I13" s="6" t="s">
        <v>38</v>
      </c>
      <c r="J13" s="6"/>
      <c r="K13" s="6"/>
      <c r="L13" s="6"/>
    </row>
    <row r="14" customFormat="false" ht="26.85" hidden="false" customHeight="false" outlineLevel="0" collapsed="false">
      <c r="A14" s="5" t="s">
        <v>95</v>
      </c>
      <c r="B14" s="5" t="s">
        <v>32</v>
      </c>
      <c r="C14" s="5" t="s">
        <v>96</v>
      </c>
      <c r="D14" s="5" t="s">
        <v>97</v>
      </c>
      <c r="E14" s="5" t="s">
        <v>98</v>
      </c>
      <c r="F14" s="5" t="s">
        <v>99</v>
      </c>
      <c r="G14" s="5"/>
      <c r="H14" s="5" t="s">
        <v>37</v>
      </c>
      <c r="I14" s="6" t="s">
        <v>38</v>
      </c>
      <c r="J14" s="6"/>
      <c r="K14" s="6"/>
      <c r="L14" s="6"/>
    </row>
    <row r="15" customFormat="false" ht="26.85" hidden="false" customHeight="false" outlineLevel="0" collapsed="false">
      <c r="A15" s="5" t="s">
        <v>100</v>
      </c>
      <c r="B15" s="5" t="s">
        <v>32</v>
      </c>
      <c r="C15" s="5" t="s">
        <v>101</v>
      </c>
      <c r="D15" s="5" t="s">
        <v>102</v>
      </c>
      <c r="E15" s="5" t="s">
        <v>103</v>
      </c>
      <c r="F15" s="5" t="s">
        <v>104</v>
      </c>
      <c r="G15" s="5"/>
      <c r="H15" s="5" t="s">
        <v>37</v>
      </c>
      <c r="I15" s="6" t="s">
        <v>38</v>
      </c>
      <c r="J15" s="6"/>
      <c r="K15" s="6"/>
      <c r="L15" s="6"/>
    </row>
    <row r="16" customFormat="false" ht="26.85" hidden="false" customHeight="false" outlineLevel="0" collapsed="false">
      <c r="A16" s="5" t="s">
        <v>105</v>
      </c>
      <c r="B16" s="5" t="s">
        <v>32</v>
      </c>
      <c r="C16" s="5" t="s">
        <v>106</v>
      </c>
      <c r="D16" s="5" t="s">
        <v>107</v>
      </c>
      <c r="E16" s="5" t="s">
        <v>108</v>
      </c>
      <c r="F16" s="5" t="s">
        <v>109</v>
      </c>
      <c r="G16" s="5"/>
      <c r="H16" s="5" t="s">
        <v>37</v>
      </c>
      <c r="I16" s="6" t="s">
        <v>38</v>
      </c>
      <c r="J16" s="6"/>
      <c r="K16" s="6"/>
      <c r="L16" s="6"/>
    </row>
    <row r="17" customFormat="false" ht="26.85" hidden="false" customHeight="false" outlineLevel="0" collapsed="false">
      <c r="A17" s="5" t="s">
        <v>110</v>
      </c>
      <c r="B17" s="5" t="s">
        <v>32</v>
      </c>
      <c r="C17" s="5" t="s">
        <v>111</v>
      </c>
      <c r="D17" s="5" t="s">
        <v>112</v>
      </c>
      <c r="E17" s="5" t="s">
        <v>113</v>
      </c>
      <c r="F17" s="5" t="s">
        <v>114</v>
      </c>
      <c r="G17" s="5" t="s">
        <v>115</v>
      </c>
      <c r="H17" s="5" t="s">
        <v>75</v>
      </c>
      <c r="I17" s="6" t="s">
        <v>38</v>
      </c>
      <c r="J17" s="6"/>
      <c r="K17" s="6"/>
      <c r="L17" s="6"/>
    </row>
    <row r="18" customFormat="false" ht="26.85" hidden="false" customHeight="false" outlineLevel="0" collapsed="false">
      <c r="A18" s="5" t="s">
        <v>116</v>
      </c>
      <c r="B18" s="5" t="s">
        <v>32</v>
      </c>
      <c r="C18" s="5" t="s">
        <v>117</v>
      </c>
      <c r="D18" s="5" t="s">
        <v>118</v>
      </c>
      <c r="E18" s="5" t="s">
        <v>119</v>
      </c>
      <c r="F18" s="5" t="s">
        <v>120</v>
      </c>
      <c r="G18" s="5" t="s">
        <v>121</v>
      </c>
      <c r="H18" s="5" t="s">
        <v>75</v>
      </c>
      <c r="I18" s="6" t="s">
        <v>38</v>
      </c>
      <c r="J18" s="6"/>
      <c r="K18" s="6"/>
      <c r="L18" s="6"/>
    </row>
    <row r="19" customFormat="false" ht="26.85" hidden="false" customHeight="false" outlineLevel="0" collapsed="false">
      <c r="A19" s="5" t="s">
        <v>122</v>
      </c>
      <c r="B19" s="5" t="s">
        <v>32</v>
      </c>
      <c r="C19" s="5" t="s">
        <v>123</v>
      </c>
      <c r="D19" s="5" t="s">
        <v>124</v>
      </c>
      <c r="E19" s="5" t="s">
        <v>125</v>
      </c>
      <c r="F19" s="5" t="s">
        <v>126</v>
      </c>
      <c r="G19" s="5"/>
      <c r="H19" s="5" t="s">
        <v>37</v>
      </c>
      <c r="I19" s="6" t="s">
        <v>38</v>
      </c>
      <c r="J19" s="6"/>
      <c r="K19" s="6"/>
      <c r="L19" s="6"/>
    </row>
    <row r="20" customFormat="false" ht="26.85" hidden="false" customHeight="false" outlineLevel="0" collapsed="false">
      <c r="A20" s="5" t="s">
        <v>127</v>
      </c>
      <c r="B20" s="5" t="s">
        <v>32</v>
      </c>
      <c r="C20" s="5" t="s">
        <v>128</v>
      </c>
      <c r="D20" s="5" t="s">
        <v>129</v>
      </c>
      <c r="E20" s="5" t="s">
        <v>130</v>
      </c>
      <c r="F20" s="5" t="s">
        <v>53</v>
      </c>
      <c r="G20" s="5"/>
      <c r="H20" s="5" t="s">
        <v>37</v>
      </c>
      <c r="I20" s="6" t="s">
        <v>38</v>
      </c>
      <c r="J20" s="6"/>
      <c r="K20" s="6"/>
      <c r="L20" s="6"/>
    </row>
    <row r="21" customFormat="false" ht="26.85" hidden="false" customHeight="false" outlineLevel="0" collapsed="false">
      <c r="A21" s="5" t="s">
        <v>131</v>
      </c>
      <c r="B21" s="5" t="s">
        <v>32</v>
      </c>
      <c r="C21" s="5" t="s">
        <v>132</v>
      </c>
      <c r="D21" s="5" t="s">
        <v>133</v>
      </c>
      <c r="E21" s="5" t="s">
        <v>134</v>
      </c>
      <c r="F21" s="5" t="s">
        <v>58</v>
      </c>
      <c r="G21" s="5"/>
      <c r="H21" s="5" t="s">
        <v>37</v>
      </c>
      <c r="I21" s="6" t="s">
        <v>38</v>
      </c>
      <c r="J21" s="6"/>
      <c r="K21" s="6"/>
      <c r="L21" s="6"/>
    </row>
    <row r="22" customFormat="false" ht="26.85" hidden="false" customHeight="false" outlineLevel="0" collapsed="false">
      <c r="A22" s="5" t="s">
        <v>135</v>
      </c>
      <c r="B22" s="5" t="s">
        <v>32</v>
      </c>
      <c r="C22" s="5" t="s">
        <v>136</v>
      </c>
      <c r="D22" s="5" t="s">
        <v>137</v>
      </c>
      <c r="E22" s="5" t="s">
        <v>138</v>
      </c>
      <c r="F22" s="5" t="s">
        <v>139</v>
      </c>
      <c r="G22" s="5"/>
      <c r="H22" s="5" t="s">
        <v>37</v>
      </c>
      <c r="I22" s="6" t="s">
        <v>38</v>
      </c>
      <c r="J22" s="6"/>
      <c r="K22" s="6"/>
      <c r="L22" s="6"/>
    </row>
    <row r="23" customFormat="false" ht="26.85" hidden="false" customHeight="false" outlineLevel="0" collapsed="false">
      <c r="A23" s="5" t="s">
        <v>140</v>
      </c>
      <c r="B23" s="5" t="s">
        <v>32</v>
      </c>
      <c r="C23" s="5" t="s">
        <v>141</v>
      </c>
      <c r="D23" s="5" t="s">
        <v>142</v>
      </c>
      <c r="E23" s="5" t="s">
        <v>143</v>
      </c>
      <c r="F23" s="5" t="s">
        <v>144</v>
      </c>
      <c r="G23" s="5"/>
      <c r="H23" s="5" t="s">
        <v>37</v>
      </c>
      <c r="I23" s="6" t="s">
        <v>38</v>
      </c>
      <c r="J23" s="6"/>
      <c r="K23" s="6"/>
      <c r="L23" s="6"/>
    </row>
    <row r="24" customFormat="false" ht="26.85" hidden="false" customHeight="false" outlineLevel="0" collapsed="false">
      <c r="A24" s="5" t="s">
        <v>145</v>
      </c>
      <c r="B24" s="5" t="s">
        <v>32</v>
      </c>
      <c r="C24" s="5" t="s">
        <v>146</v>
      </c>
      <c r="D24" s="5" t="s">
        <v>147</v>
      </c>
      <c r="E24" s="5" t="s">
        <v>148</v>
      </c>
      <c r="F24" s="5" t="s">
        <v>149</v>
      </c>
      <c r="G24" s="5"/>
      <c r="H24" s="5" t="s">
        <v>37</v>
      </c>
      <c r="I24" s="6" t="s">
        <v>38</v>
      </c>
      <c r="J24" s="6"/>
      <c r="K24" s="6"/>
      <c r="L24" s="6"/>
    </row>
    <row r="25" customFormat="false" ht="26.85" hidden="false" customHeight="false" outlineLevel="0" collapsed="false">
      <c r="A25" s="5" t="s">
        <v>150</v>
      </c>
      <c r="B25" s="5" t="s">
        <v>32</v>
      </c>
      <c r="C25" s="5" t="s">
        <v>151</v>
      </c>
      <c r="D25" s="5" t="s">
        <v>152</v>
      </c>
      <c r="E25" s="5" t="s">
        <v>153</v>
      </c>
      <c r="F25" s="5" t="s">
        <v>154</v>
      </c>
      <c r="G25" s="5"/>
      <c r="H25" s="5" t="s">
        <v>37</v>
      </c>
      <c r="I25" s="6" t="s">
        <v>38</v>
      </c>
      <c r="J25" s="6"/>
      <c r="K25" s="6"/>
      <c r="L25" s="6"/>
    </row>
    <row r="26" customFormat="false" ht="26.85" hidden="false" customHeight="false" outlineLevel="0" collapsed="false">
      <c r="A26" s="5" t="s">
        <v>155</v>
      </c>
      <c r="B26" s="5" t="s">
        <v>32</v>
      </c>
      <c r="C26" s="5" t="s">
        <v>156</v>
      </c>
      <c r="D26" s="5" t="s">
        <v>157</v>
      </c>
      <c r="E26" s="5" t="s">
        <v>158</v>
      </c>
      <c r="F26" s="5" t="s">
        <v>159</v>
      </c>
      <c r="G26" s="5"/>
      <c r="H26" s="5" t="s">
        <v>37</v>
      </c>
      <c r="I26" s="6" t="s">
        <v>38</v>
      </c>
      <c r="J26" s="6"/>
      <c r="K26" s="6"/>
      <c r="L26" s="6"/>
    </row>
    <row r="27" customFormat="false" ht="26.85" hidden="false" customHeight="false" outlineLevel="0" collapsed="false">
      <c r="A27" s="5" t="s">
        <v>160</v>
      </c>
      <c r="B27" s="5" t="s">
        <v>32</v>
      </c>
      <c r="C27" s="5" t="s">
        <v>161</v>
      </c>
      <c r="D27" s="5" t="s">
        <v>162</v>
      </c>
      <c r="E27" s="5" t="s">
        <v>163</v>
      </c>
      <c r="F27" s="5" t="s">
        <v>164</v>
      </c>
      <c r="G27" s="5" t="s">
        <v>165</v>
      </c>
      <c r="H27" s="5" t="s">
        <v>75</v>
      </c>
      <c r="I27" s="6" t="s">
        <v>38</v>
      </c>
      <c r="J27" s="6"/>
      <c r="K27" s="6"/>
      <c r="L27" s="6"/>
    </row>
    <row r="28" customFormat="false" ht="26.85" hidden="false" customHeight="false" outlineLevel="0" collapsed="false">
      <c r="A28" s="5" t="s">
        <v>166</v>
      </c>
      <c r="B28" s="5" t="s">
        <v>32</v>
      </c>
      <c r="C28" s="5" t="s">
        <v>167</v>
      </c>
      <c r="D28" s="5" t="s">
        <v>168</v>
      </c>
      <c r="E28" s="5" t="s">
        <v>169</v>
      </c>
      <c r="F28" s="5" t="s">
        <v>170</v>
      </c>
      <c r="G28" s="5"/>
      <c r="H28" s="5" t="s">
        <v>37</v>
      </c>
      <c r="I28" s="6" t="s">
        <v>38</v>
      </c>
      <c r="J28" s="6"/>
      <c r="K28" s="6"/>
      <c r="L28" s="6"/>
    </row>
    <row r="29" customFormat="false" ht="26.85" hidden="false" customHeight="false" outlineLevel="0" collapsed="false">
      <c r="A29" s="5" t="s">
        <v>171</v>
      </c>
      <c r="B29" s="5" t="s">
        <v>32</v>
      </c>
      <c r="C29" s="5" t="s">
        <v>172</v>
      </c>
      <c r="D29" s="5" t="s">
        <v>173</v>
      </c>
      <c r="E29" s="5" t="s">
        <v>174</v>
      </c>
      <c r="F29" s="5" t="s">
        <v>175</v>
      </c>
      <c r="G29" s="5"/>
      <c r="H29" s="5" t="s">
        <v>37</v>
      </c>
      <c r="I29" s="6" t="s">
        <v>38</v>
      </c>
      <c r="J29" s="6"/>
      <c r="K29" s="6"/>
      <c r="L29" s="6"/>
    </row>
    <row r="30" customFormat="false" ht="26.85" hidden="false" customHeight="false" outlineLevel="0" collapsed="false">
      <c r="A30" s="5" t="s">
        <v>176</v>
      </c>
      <c r="B30" s="5" t="s">
        <v>32</v>
      </c>
      <c r="C30" s="5" t="s">
        <v>177</v>
      </c>
      <c r="D30" s="5" t="s">
        <v>178</v>
      </c>
      <c r="E30" s="5" t="s">
        <v>179</v>
      </c>
      <c r="F30" s="5" t="s">
        <v>180</v>
      </c>
      <c r="G30" s="5"/>
      <c r="H30" s="5" t="s">
        <v>37</v>
      </c>
      <c r="I30" s="6" t="s">
        <v>38</v>
      </c>
      <c r="J30" s="6"/>
      <c r="K30" s="6"/>
      <c r="L30" s="6"/>
    </row>
    <row r="31" customFormat="false" ht="26.85" hidden="false" customHeight="false" outlineLevel="0" collapsed="false">
      <c r="A31" s="5" t="s">
        <v>181</v>
      </c>
      <c r="B31" s="5" t="s">
        <v>32</v>
      </c>
      <c r="C31" s="5" t="s">
        <v>182</v>
      </c>
      <c r="D31" s="5" t="s">
        <v>183</v>
      </c>
      <c r="E31" s="5" t="s">
        <v>184</v>
      </c>
      <c r="F31" s="5" t="s">
        <v>185</v>
      </c>
      <c r="G31" s="5"/>
      <c r="H31" s="5" t="s">
        <v>37</v>
      </c>
      <c r="I31" s="6" t="s">
        <v>38</v>
      </c>
      <c r="J31" s="6"/>
      <c r="K31" s="6"/>
      <c r="L31" s="6"/>
    </row>
    <row r="32" customFormat="false" ht="26.85" hidden="false" customHeight="false" outlineLevel="0" collapsed="false">
      <c r="A32" s="5" t="s">
        <v>186</v>
      </c>
      <c r="B32" s="5" t="s">
        <v>32</v>
      </c>
      <c r="C32" s="5" t="s">
        <v>187</v>
      </c>
      <c r="D32" s="5" t="s">
        <v>188</v>
      </c>
      <c r="E32" s="5" t="s">
        <v>189</v>
      </c>
      <c r="F32" s="5" t="s">
        <v>190</v>
      </c>
      <c r="G32" s="5"/>
      <c r="H32" s="5" t="s">
        <v>37</v>
      </c>
      <c r="I32" s="6" t="s">
        <v>38</v>
      </c>
      <c r="J32" s="6"/>
      <c r="K32" s="6"/>
      <c r="L32" s="6"/>
    </row>
    <row r="33" customFormat="false" ht="26.85" hidden="false" customHeight="false" outlineLevel="0" collapsed="false">
      <c r="A33" s="5" t="s">
        <v>191</v>
      </c>
      <c r="B33" s="5" t="s">
        <v>32</v>
      </c>
      <c r="C33" s="5" t="s">
        <v>192</v>
      </c>
      <c r="D33" s="5" t="s">
        <v>193</v>
      </c>
      <c r="E33" s="5" t="s">
        <v>194</v>
      </c>
      <c r="F33" s="5" t="s">
        <v>195</v>
      </c>
      <c r="G33" s="5"/>
      <c r="H33" s="5" t="s">
        <v>37</v>
      </c>
      <c r="I33" s="6" t="s">
        <v>38</v>
      </c>
      <c r="J33" s="6"/>
      <c r="K33" s="6"/>
      <c r="L33" s="6"/>
    </row>
    <row r="34" customFormat="false" ht="26.85" hidden="false" customHeight="false" outlineLevel="0" collapsed="false">
      <c r="A34" s="5" t="s">
        <v>196</v>
      </c>
      <c r="B34" s="5" t="s">
        <v>32</v>
      </c>
      <c r="C34" s="5" t="s">
        <v>197</v>
      </c>
      <c r="D34" s="5" t="s">
        <v>198</v>
      </c>
      <c r="E34" s="5" t="s">
        <v>199</v>
      </c>
      <c r="F34" s="5" t="s">
        <v>200</v>
      </c>
      <c r="G34" s="5"/>
      <c r="H34" s="5" t="s">
        <v>37</v>
      </c>
      <c r="I34" s="6" t="s">
        <v>38</v>
      </c>
      <c r="J34" s="6"/>
      <c r="K34" s="6"/>
      <c r="L34" s="6"/>
    </row>
    <row r="35" customFormat="false" ht="26.85" hidden="false" customHeight="false" outlineLevel="0" collapsed="false">
      <c r="A35" s="5" t="s">
        <v>201</v>
      </c>
      <c r="B35" s="5" t="s">
        <v>32</v>
      </c>
      <c r="C35" s="5" t="s">
        <v>202</v>
      </c>
      <c r="D35" s="5" t="s">
        <v>203</v>
      </c>
      <c r="E35" s="5" t="s">
        <v>204</v>
      </c>
      <c r="F35" s="5" t="s">
        <v>159</v>
      </c>
      <c r="G35" s="5"/>
      <c r="H35" s="5" t="s">
        <v>37</v>
      </c>
      <c r="I35" s="6" t="s">
        <v>38</v>
      </c>
      <c r="J35" s="6"/>
      <c r="K35" s="6"/>
      <c r="L35" s="6"/>
    </row>
    <row r="36" customFormat="false" ht="26.85" hidden="false" customHeight="false" outlineLevel="0" collapsed="false">
      <c r="A36" s="5" t="s">
        <v>205</v>
      </c>
      <c r="B36" s="5" t="s">
        <v>32</v>
      </c>
      <c r="C36" s="5" t="s">
        <v>206</v>
      </c>
      <c r="D36" s="5" t="s">
        <v>207</v>
      </c>
      <c r="E36" s="5" t="s">
        <v>208</v>
      </c>
      <c r="F36" s="5" t="s">
        <v>209</v>
      </c>
      <c r="G36" s="5"/>
      <c r="H36" s="5" t="s">
        <v>37</v>
      </c>
      <c r="I36" s="6" t="s">
        <v>38</v>
      </c>
      <c r="J36" s="6"/>
      <c r="K36" s="6"/>
      <c r="L36" s="6"/>
    </row>
    <row r="37" customFormat="false" ht="26.85" hidden="false" customHeight="false" outlineLevel="0" collapsed="false">
      <c r="A37" s="5" t="s">
        <v>210</v>
      </c>
      <c r="B37" s="5" t="s">
        <v>32</v>
      </c>
      <c r="C37" s="5" t="s">
        <v>211</v>
      </c>
      <c r="D37" s="5" t="s">
        <v>212</v>
      </c>
      <c r="E37" s="5" t="s">
        <v>213</v>
      </c>
      <c r="F37" s="5" t="s">
        <v>214</v>
      </c>
      <c r="G37" s="5"/>
      <c r="H37" s="5" t="s">
        <v>37</v>
      </c>
      <c r="I37" s="6" t="s">
        <v>38</v>
      </c>
      <c r="J37" s="6"/>
      <c r="K37" s="6"/>
      <c r="L37" s="6"/>
    </row>
    <row r="38" customFormat="false" ht="26.85" hidden="false" customHeight="false" outlineLevel="0" collapsed="false">
      <c r="A38" s="5" t="s">
        <v>215</v>
      </c>
      <c r="B38" s="5" t="s">
        <v>32</v>
      </c>
      <c r="C38" s="5" t="s">
        <v>216</v>
      </c>
      <c r="D38" s="5" t="s">
        <v>217</v>
      </c>
      <c r="E38" s="5" t="s">
        <v>218</v>
      </c>
      <c r="F38" s="5" t="s">
        <v>219</v>
      </c>
      <c r="G38" s="5"/>
      <c r="H38" s="5" t="s">
        <v>37</v>
      </c>
      <c r="I38" s="6" t="s">
        <v>38</v>
      </c>
      <c r="J38" s="6"/>
      <c r="K38" s="6"/>
      <c r="L38" s="6"/>
    </row>
    <row r="39" customFormat="false" ht="26.85" hidden="false" customHeight="false" outlineLevel="0" collapsed="false">
      <c r="A39" s="5" t="s">
        <v>220</v>
      </c>
      <c r="B39" s="5" t="s">
        <v>32</v>
      </c>
      <c r="C39" s="5" t="s">
        <v>221</v>
      </c>
      <c r="D39" s="5" t="s">
        <v>222</v>
      </c>
      <c r="E39" s="5" t="s">
        <v>223</v>
      </c>
      <c r="F39" s="5" t="s">
        <v>224</v>
      </c>
      <c r="G39" s="5"/>
      <c r="H39" s="5" t="s">
        <v>37</v>
      </c>
      <c r="I39" s="6" t="s">
        <v>38</v>
      </c>
      <c r="J39" s="6"/>
      <c r="K39" s="6"/>
      <c r="L39" s="6"/>
    </row>
    <row r="40" customFormat="false" ht="26.85" hidden="false" customHeight="false" outlineLevel="0" collapsed="false">
      <c r="A40" s="5" t="s">
        <v>225</v>
      </c>
      <c r="B40" s="5" t="s">
        <v>32</v>
      </c>
      <c r="C40" s="5" t="s">
        <v>226</v>
      </c>
      <c r="D40" s="5" t="s">
        <v>227</v>
      </c>
      <c r="E40" s="5" t="s">
        <v>228</v>
      </c>
      <c r="F40" s="5" t="s">
        <v>229</v>
      </c>
      <c r="G40" s="5"/>
      <c r="H40" s="5" t="s">
        <v>37</v>
      </c>
      <c r="I40" s="6" t="s">
        <v>38</v>
      </c>
      <c r="J40" s="6"/>
      <c r="K40" s="6"/>
      <c r="L40" s="6"/>
    </row>
    <row r="41" customFormat="false" ht="26.85" hidden="false" customHeight="false" outlineLevel="0" collapsed="false">
      <c r="A41" s="5" t="s">
        <v>230</v>
      </c>
      <c r="B41" s="5" t="s">
        <v>32</v>
      </c>
      <c r="C41" s="5" t="s">
        <v>231</v>
      </c>
      <c r="D41" s="5" t="s">
        <v>232</v>
      </c>
      <c r="E41" s="5" t="s">
        <v>233</v>
      </c>
      <c r="F41" s="5" t="s">
        <v>234</v>
      </c>
      <c r="G41" s="5"/>
      <c r="H41" s="5" t="s">
        <v>37</v>
      </c>
      <c r="I41" s="6" t="s">
        <v>38</v>
      </c>
      <c r="J41" s="6"/>
      <c r="K41" s="6"/>
      <c r="L41" s="6"/>
    </row>
    <row r="42" customFormat="false" ht="26.85" hidden="false" customHeight="false" outlineLevel="0" collapsed="false">
      <c r="A42" s="5" t="s">
        <v>235</v>
      </c>
      <c r="B42" s="5" t="s">
        <v>32</v>
      </c>
      <c r="C42" s="5" t="s">
        <v>236</v>
      </c>
      <c r="D42" s="5" t="s">
        <v>237</v>
      </c>
      <c r="E42" s="5" t="s">
        <v>238</v>
      </c>
      <c r="F42" s="5" t="s">
        <v>239</v>
      </c>
      <c r="G42" s="5"/>
      <c r="H42" s="5" t="s">
        <v>37</v>
      </c>
      <c r="I42" s="6" t="s">
        <v>38</v>
      </c>
      <c r="J42" s="6"/>
      <c r="K42" s="6"/>
      <c r="L42" s="6"/>
    </row>
    <row r="43" customFormat="false" ht="26.85" hidden="false" customHeight="false" outlineLevel="0" collapsed="false">
      <c r="A43" s="5" t="s">
        <v>240</v>
      </c>
      <c r="B43" s="5" t="s">
        <v>32</v>
      </c>
      <c r="C43" s="5" t="s">
        <v>241</v>
      </c>
      <c r="D43" s="5" t="s">
        <v>242</v>
      </c>
      <c r="E43" s="5" t="s">
        <v>243</v>
      </c>
      <c r="F43" s="5" t="s">
        <v>244</v>
      </c>
      <c r="G43" s="5"/>
      <c r="H43" s="5" t="s">
        <v>37</v>
      </c>
      <c r="I43" s="6" t="s">
        <v>38</v>
      </c>
      <c r="J43" s="6"/>
      <c r="K43" s="6"/>
      <c r="L43" s="6"/>
    </row>
    <row r="44" customFormat="false" ht="26.85" hidden="false" customHeight="false" outlineLevel="0" collapsed="false">
      <c r="A44" s="5" t="s">
        <v>245</v>
      </c>
      <c r="B44" s="5" t="s">
        <v>32</v>
      </c>
      <c r="C44" s="5" t="s">
        <v>246</v>
      </c>
      <c r="D44" s="5" t="s">
        <v>247</v>
      </c>
      <c r="E44" s="5" t="s">
        <v>248</v>
      </c>
      <c r="F44" s="5" t="s">
        <v>249</v>
      </c>
      <c r="G44" s="5"/>
      <c r="H44" s="5" t="s">
        <v>37</v>
      </c>
      <c r="I44" s="6" t="s">
        <v>38</v>
      </c>
      <c r="J44" s="6"/>
      <c r="K44" s="6"/>
      <c r="L44" s="6"/>
    </row>
    <row r="45" customFormat="false" ht="26.85" hidden="false" customHeight="false" outlineLevel="0" collapsed="false">
      <c r="A45" s="5" t="s">
        <v>250</v>
      </c>
      <c r="B45" s="5" t="s">
        <v>32</v>
      </c>
      <c r="C45" s="5" t="s">
        <v>251</v>
      </c>
      <c r="D45" s="5" t="s">
        <v>252</v>
      </c>
      <c r="E45" s="5" t="s">
        <v>253</v>
      </c>
      <c r="F45" s="5" t="s">
        <v>254</v>
      </c>
      <c r="G45" s="5"/>
      <c r="H45" s="5" t="s">
        <v>37</v>
      </c>
      <c r="I45" s="6" t="s">
        <v>38</v>
      </c>
      <c r="J45" s="6"/>
      <c r="K45" s="6"/>
      <c r="L45" s="6"/>
    </row>
    <row r="46" customFormat="false" ht="26.85" hidden="false" customHeight="false" outlineLevel="0" collapsed="false">
      <c r="A46" s="5" t="s">
        <v>255</v>
      </c>
      <c r="B46" s="5" t="s">
        <v>32</v>
      </c>
      <c r="C46" s="5" t="s">
        <v>256</v>
      </c>
      <c r="D46" s="5" t="s">
        <v>257</v>
      </c>
      <c r="E46" s="5" t="s">
        <v>258</v>
      </c>
      <c r="F46" s="5" t="s">
        <v>259</v>
      </c>
      <c r="G46" s="5"/>
      <c r="H46" s="5" t="s">
        <v>37</v>
      </c>
      <c r="I46" s="6" t="s">
        <v>38</v>
      </c>
      <c r="J46" s="6"/>
      <c r="K46" s="6"/>
      <c r="L46" s="6"/>
    </row>
    <row r="47" customFormat="false" ht="26.85" hidden="false" customHeight="false" outlineLevel="0" collapsed="false">
      <c r="A47" s="5" t="s">
        <v>260</v>
      </c>
      <c r="B47" s="5" t="s">
        <v>32</v>
      </c>
      <c r="C47" s="5" t="s">
        <v>261</v>
      </c>
      <c r="D47" s="5" t="s">
        <v>262</v>
      </c>
      <c r="E47" s="5" t="s">
        <v>263</v>
      </c>
      <c r="F47" s="5" t="s">
        <v>264</v>
      </c>
      <c r="G47" s="5"/>
      <c r="H47" s="5" t="s">
        <v>37</v>
      </c>
      <c r="I47" s="6" t="s">
        <v>38</v>
      </c>
      <c r="J47" s="6"/>
      <c r="K47" s="6"/>
      <c r="L47" s="6"/>
    </row>
    <row r="48" customFormat="false" ht="26.85" hidden="false" customHeight="false" outlineLevel="0" collapsed="false">
      <c r="A48" s="5" t="s">
        <v>265</v>
      </c>
      <c r="B48" s="5" t="s">
        <v>32</v>
      </c>
      <c r="C48" s="5" t="s">
        <v>266</v>
      </c>
      <c r="D48" s="5" t="s">
        <v>267</v>
      </c>
      <c r="E48" s="5" t="s">
        <v>268</v>
      </c>
      <c r="F48" s="5" t="s">
        <v>269</v>
      </c>
      <c r="G48" s="5" t="s">
        <v>270</v>
      </c>
      <c r="H48" s="5" t="s">
        <v>75</v>
      </c>
      <c r="I48" s="6" t="s">
        <v>38</v>
      </c>
      <c r="J48" s="6"/>
      <c r="K48" s="6"/>
      <c r="L48" s="6"/>
    </row>
    <row r="49" customFormat="false" ht="26.85" hidden="false" customHeight="false" outlineLevel="0" collapsed="false">
      <c r="A49" s="5" t="s">
        <v>271</v>
      </c>
      <c r="B49" s="5" t="s">
        <v>32</v>
      </c>
      <c r="C49" s="5" t="s">
        <v>272</v>
      </c>
      <c r="D49" s="5" t="s">
        <v>273</v>
      </c>
      <c r="E49" s="5" t="s">
        <v>274</v>
      </c>
      <c r="F49" s="5" t="s">
        <v>275</v>
      </c>
      <c r="G49" s="5"/>
      <c r="H49" s="5" t="s">
        <v>37</v>
      </c>
      <c r="I49" s="6" t="s">
        <v>38</v>
      </c>
      <c r="J49" s="6"/>
      <c r="K49" s="6"/>
      <c r="L49" s="6"/>
    </row>
    <row r="50" customFormat="false" ht="26.85" hidden="false" customHeight="false" outlineLevel="0" collapsed="false">
      <c r="A50" s="5" t="s">
        <v>276</v>
      </c>
      <c r="B50" s="5" t="s">
        <v>32</v>
      </c>
      <c r="C50" s="5" t="s">
        <v>277</v>
      </c>
      <c r="D50" s="5" t="s">
        <v>278</v>
      </c>
      <c r="E50" s="5" t="s">
        <v>279</v>
      </c>
      <c r="F50" s="5" t="s">
        <v>280</v>
      </c>
      <c r="G50" s="5"/>
      <c r="H50" s="5" t="s">
        <v>37</v>
      </c>
      <c r="I50" s="6" t="s">
        <v>38</v>
      </c>
      <c r="J50" s="6"/>
      <c r="K50" s="6"/>
      <c r="L50" s="6"/>
    </row>
    <row r="51" customFormat="false" ht="26.85" hidden="false" customHeight="false" outlineLevel="0" collapsed="false">
      <c r="A51" s="5" t="s">
        <v>281</v>
      </c>
      <c r="B51" s="5" t="s">
        <v>32</v>
      </c>
      <c r="C51" s="5" t="s">
        <v>282</v>
      </c>
      <c r="D51" s="5" t="s">
        <v>283</v>
      </c>
      <c r="E51" s="5" t="s">
        <v>284</v>
      </c>
      <c r="F51" s="5" t="s">
        <v>285</v>
      </c>
      <c r="G51" s="5"/>
      <c r="H51" s="5" t="s">
        <v>37</v>
      </c>
      <c r="I51" s="6" t="s">
        <v>38</v>
      </c>
      <c r="J51" s="6"/>
      <c r="K51" s="6"/>
      <c r="L51" s="6"/>
    </row>
    <row r="52" customFormat="false" ht="26.85" hidden="false" customHeight="false" outlineLevel="0" collapsed="false">
      <c r="A52" s="5" t="s">
        <v>286</v>
      </c>
      <c r="B52" s="5" t="s">
        <v>287</v>
      </c>
      <c r="C52" s="5" t="s">
        <v>288</v>
      </c>
      <c r="D52" s="5" t="s">
        <v>289</v>
      </c>
      <c r="E52" s="5" t="s">
        <v>290</v>
      </c>
      <c r="F52" s="5" t="s">
        <v>291</v>
      </c>
      <c r="G52" s="5"/>
      <c r="H52" s="5" t="s">
        <v>37</v>
      </c>
      <c r="I52" s="6" t="s">
        <v>38</v>
      </c>
      <c r="J52" s="6"/>
      <c r="K52" s="6"/>
      <c r="L52" s="6"/>
    </row>
    <row r="53" customFormat="false" ht="26.85" hidden="false" customHeight="false" outlineLevel="0" collapsed="false">
      <c r="A53" s="5" t="s">
        <v>292</v>
      </c>
      <c r="B53" s="5" t="s">
        <v>287</v>
      </c>
      <c r="C53" s="5" t="s">
        <v>293</v>
      </c>
      <c r="D53" s="5" t="s">
        <v>294</v>
      </c>
      <c r="E53" s="5" t="s">
        <v>295</v>
      </c>
      <c r="F53" s="5" t="s">
        <v>296</v>
      </c>
      <c r="G53" s="5"/>
      <c r="H53" s="5" t="s">
        <v>37</v>
      </c>
      <c r="I53" s="6" t="s">
        <v>38</v>
      </c>
      <c r="J53" s="6"/>
      <c r="K53" s="6"/>
      <c r="L53" s="6"/>
    </row>
    <row r="54" customFormat="false" ht="26.85" hidden="false" customHeight="false" outlineLevel="0" collapsed="false">
      <c r="A54" s="5" t="s">
        <v>297</v>
      </c>
      <c r="B54" s="5" t="s">
        <v>287</v>
      </c>
      <c r="C54" s="5" t="s">
        <v>298</v>
      </c>
      <c r="D54" s="5" t="s">
        <v>299</v>
      </c>
      <c r="E54" s="5" t="s">
        <v>300</v>
      </c>
      <c r="F54" s="5" t="s">
        <v>301</v>
      </c>
      <c r="G54" s="5"/>
      <c r="H54" s="5" t="s">
        <v>37</v>
      </c>
      <c r="I54" s="6" t="s">
        <v>38</v>
      </c>
      <c r="J54" s="6"/>
      <c r="K54" s="6"/>
      <c r="L54" s="6"/>
    </row>
    <row r="55" customFormat="false" ht="26.85" hidden="false" customHeight="false" outlineLevel="0" collapsed="false">
      <c r="A55" s="5" t="s">
        <v>302</v>
      </c>
      <c r="B55" s="5" t="s">
        <v>287</v>
      </c>
      <c r="C55" s="5" t="s">
        <v>303</v>
      </c>
      <c r="D55" s="5" t="s">
        <v>304</v>
      </c>
      <c r="E55" s="5" t="s">
        <v>305</v>
      </c>
      <c r="F55" s="5" t="s">
        <v>306</v>
      </c>
      <c r="G55" s="5"/>
      <c r="H55" s="5" t="s">
        <v>37</v>
      </c>
      <c r="I55" s="6" t="s">
        <v>38</v>
      </c>
      <c r="J55" s="6"/>
      <c r="K55" s="6"/>
      <c r="L55" s="6"/>
    </row>
    <row r="56" customFormat="false" ht="26.85" hidden="false" customHeight="false" outlineLevel="0" collapsed="false">
      <c r="A56" s="5" t="s">
        <v>307</v>
      </c>
      <c r="B56" s="5" t="s">
        <v>287</v>
      </c>
      <c r="C56" s="5" t="s">
        <v>308</v>
      </c>
      <c r="D56" s="5" t="s">
        <v>309</v>
      </c>
      <c r="E56" s="5" t="s">
        <v>310</v>
      </c>
      <c r="F56" s="5" t="s">
        <v>311</v>
      </c>
      <c r="G56" s="5"/>
      <c r="H56" s="5" t="s">
        <v>37</v>
      </c>
      <c r="I56" s="6" t="s">
        <v>38</v>
      </c>
      <c r="J56" s="6"/>
      <c r="K56" s="6"/>
      <c r="L56" s="6"/>
    </row>
    <row r="57" customFormat="false" ht="26.85" hidden="false" customHeight="false" outlineLevel="0" collapsed="false">
      <c r="A57" s="5" t="s">
        <v>312</v>
      </c>
      <c r="B57" s="5" t="s">
        <v>287</v>
      </c>
      <c r="C57" s="5" t="s">
        <v>313</v>
      </c>
      <c r="D57" s="5" t="s">
        <v>314</v>
      </c>
      <c r="E57" s="5" t="s">
        <v>315</v>
      </c>
      <c r="F57" s="5" t="s">
        <v>316</v>
      </c>
      <c r="G57" s="5"/>
      <c r="H57" s="5" t="s">
        <v>37</v>
      </c>
      <c r="I57" s="6" t="s">
        <v>38</v>
      </c>
      <c r="J57" s="6"/>
      <c r="K57" s="6"/>
      <c r="L57" s="6"/>
    </row>
    <row r="58" customFormat="false" ht="26.85" hidden="false" customHeight="false" outlineLevel="0" collapsed="false">
      <c r="A58" s="5" t="s">
        <v>317</v>
      </c>
      <c r="B58" s="5" t="s">
        <v>287</v>
      </c>
      <c r="C58" s="5" t="s">
        <v>318</v>
      </c>
      <c r="D58" s="5" t="s">
        <v>319</v>
      </c>
      <c r="E58" s="5" t="s">
        <v>320</v>
      </c>
      <c r="F58" s="5" t="s">
        <v>321</v>
      </c>
      <c r="G58" s="5"/>
      <c r="H58" s="5" t="s">
        <v>75</v>
      </c>
      <c r="I58" s="6" t="s">
        <v>38</v>
      </c>
      <c r="J58" s="6"/>
      <c r="K58" s="6"/>
      <c r="L58" s="6"/>
    </row>
    <row r="59" customFormat="false" ht="26.85" hidden="false" customHeight="false" outlineLevel="0" collapsed="false">
      <c r="A59" s="5" t="s">
        <v>322</v>
      </c>
      <c r="B59" s="5" t="s">
        <v>287</v>
      </c>
      <c r="C59" s="5" t="s">
        <v>323</v>
      </c>
      <c r="D59" s="5" t="s">
        <v>324</v>
      </c>
      <c r="E59" s="5" t="s">
        <v>325</v>
      </c>
      <c r="F59" s="5" t="s">
        <v>326</v>
      </c>
      <c r="G59" s="5"/>
      <c r="H59" s="5" t="s">
        <v>37</v>
      </c>
      <c r="I59" s="6" t="s">
        <v>38</v>
      </c>
      <c r="J59" s="6"/>
      <c r="K59" s="6"/>
      <c r="L59" s="6"/>
    </row>
    <row r="60" customFormat="false" ht="26.85" hidden="false" customHeight="false" outlineLevel="0" collapsed="false">
      <c r="A60" s="5" t="s">
        <v>327</v>
      </c>
      <c r="B60" s="5" t="s">
        <v>287</v>
      </c>
      <c r="C60" s="5" t="s">
        <v>328</v>
      </c>
      <c r="D60" s="5" t="s">
        <v>329</v>
      </c>
      <c r="E60" s="5" t="s">
        <v>330</v>
      </c>
      <c r="F60" s="5" t="s">
        <v>331</v>
      </c>
      <c r="G60" s="5"/>
      <c r="H60" s="5" t="s">
        <v>37</v>
      </c>
      <c r="I60" s="6" t="s">
        <v>38</v>
      </c>
      <c r="J60" s="6"/>
      <c r="K60" s="6"/>
      <c r="L60" s="6"/>
    </row>
    <row r="61" customFormat="false" ht="26.85" hidden="false" customHeight="false" outlineLevel="0" collapsed="false">
      <c r="A61" s="5" t="s">
        <v>332</v>
      </c>
      <c r="B61" s="5" t="s">
        <v>287</v>
      </c>
      <c r="C61" s="5" t="s">
        <v>333</v>
      </c>
      <c r="D61" s="5" t="s">
        <v>334</v>
      </c>
      <c r="E61" s="5" t="s">
        <v>335</v>
      </c>
      <c r="F61" s="5" t="s">
        <v>336</v>
      </c>
      <c r="G61" s="5"/>
      <c r="H61" s="5" t="s">
        <v>37</v>
      </c>
      <c r="I61" s="6" t="s">
        <v>38</v>
      </c>
      <c r="J61" s="6"/>
      <c r="K61" s="6"/>
      <c r="L61" s="6"/>
    </row>
    <row r="62" customFormat="false" ht="26.85" hidden="false" customHeight="false" outlineLevel="0" collapsed="false">
      <c r="A62" s="5" t="s">
        <v>337</v>
      </c>
      <c r="B62" s="5" t="s">
        <v>287</v>
      </c>
      <c r="C62" s="5" t="s">
        <v>338</v>
      </c>
      <c r="D62" s="5" t="s">
        <v>339</v>
      </c>
      <c r="E62" s="5" t="s">
        <v>340</v>
      </c>
      <c r="F62" s="5" t="s">
        <v>341</v>
      </c>
      <c r="G62" s="5"/>
      <c r="H62" s="5" t="s">
        <v>37</v>
      </c>
      <c r="I62" s="6" t="s">
        <v>38</v>
      </c>
      <c r="J62" s="6"/>
      <c r="K62" s="6"/>
      <c r="L62" s="6"/>
    </row>
    <row r="63" customFormat="false" ht="26.85" hidden="false" customHeight="false" outlineLevel="0" collapsed="false">
      <c r="A63" s="5" t="s">
        <v>342</v>
      </c>
      <c r="B63" s="5" t="s">
        <v>287</v>
      </c>
      <c r="C63" s="5" t="s">
        <v>343</v>
      </c>
      <c r="D63" s="5" t="s">
        <v>344</v>
      </c>
      <c r="E63" s="5" t="s">
        <v>345</v>
      </c>
      <c r="F63" s="5" t="s">
        <v>346</v>
      </c>
      <c r="G63" s="5"/>
      <c r="H63" s="5" t="s">
        <v>37</v>
      </c>
      <c r="I63" s="6" t="s">
        <v>38</v>
      </c>
      <c r="J63" s="6"/>
      <c r="K63" s="6"/>
      <c r="L63" s="6"/>
    </row>
    <row r="64" customFormat="false" ht="26.85" hidden="false" customHeight="false" outlineLevel="0" collapsed="false">
      <c r="A64" s="5" t="s">
        <v>347</v>
      </c>
      <c r="B64" s="5" t="s">
        <v>287</v>
      </c>
      <c r="C64" s="5" t="s">
        <v>348</v>
      </c>
      <c r="D64" s="5" t="s">
        <v>349</v>
      </c>
      <c r="E64" s="5" t="s">
        <v>350</v>
      </c>
      <c r="F64" s="5" t="s">
        <v>351</v>
      </c>
      <c r="G64" s="5"/>
      <c r="H64" s="5" t="s">
        <v>75</v>
      </c>
      <c r="I64" s="6" t="s">
        <v>38</v>
      </c>
      <c r="J64" s="6"/>
      <c r="K64" s="6"/>
      <c r="L64" s="6"/>
    </row>
    <row r="65" customFormat="false" ht="26.85" hidden="false" customHeight="false" outlineLevel="0" collapsed="false">
      <c r="A65" s="5" t="s">
        <v>352</v>
      </c>
      <c r="B65" s="5" t="s">
        <v>287</v>
      </c>
      <c r="C65" s="5" t="s">
        <v>353</v>
      </c>
      <c r="D65" s="5" t="s">
        <v>354</v>
      </c>
      <c r="E65" s="5" t="s">
        <v>355</v>
      </c>
      <c r="F65" s="5" t="s">
        <v>316</v>
      </c>
      <c r="G65" s="5"/>
      <c r="H65" s="5" t="s">
        <v>37</v>
      </c>
      <c r="I65" s="6" t="s">
        <v>38</v>
      </c>
      <c r="J65" s="6"/>
      <c r="K65" s="6"/>
      <c r="L65" s="6"/>
    </row>
    <row r="66" customFormat="false" ht="26.85" hidden="false" customHeight="false" outlineLevel="0" collapsed="false">
      <c r="A66" s="5" t="s">
        <v>356</v>
      </c>
      <c r="B66" s="5" t="s">
        <v>287</v>
      </c>
      <c r="C66" s="5" t="s">
        <v>357</v>
      </c>
      <c r="D66" s="5" t="s">
        <v>358</v>
      </c>
      <c r="E66" s="5" t="s">
        <v>359</v>
      </c>
      <c r="F66" s="5" t="s">
        <v>360</v>
      </c>
      <c r="G66" s="5"/>
      <c r="H66" s="5" t="s">
        <v>37</v>
      </c>
      <c r="I66" s="6" t="s">
        <v>38</v>
      </c>
      <c r="J66" s="6"/>
      <c r="K66" s="6"/>
      <c r="L66" s="6"/>
    </row>
    <row r="67" customFormat="false" ht="26.85" hidden="false" customHeight="false" outlineLevel="0" collapsed="false">
      <c r="A67" s="5" t="s">
        <v>361</v>
      </c>
      <c r="B67" s="5" t="s">
        <v>287</v>
      </c>
      <c r="C67" s="5" t="s">
        <v>362</v>
      </c>
      <c r="D67" s="5" t="s">
        <v>363</v>
      </c>
      <c r="E67" s="5" t="s">
        <v>364</v>
      </c>
      <c r="F67" s="5" t="s">
        <v>365</v>
      </c>
      <c r="G67" s="5" t="s">
        <v>366</v>
      </c>
      <c r="H67" s="5" t="s">
        <v>75</v>
      </c>
      <c r="I67" s="6" t="s">
        <v>38</v>
      </c>
      <c r="J67" s="6"/>
      <c r="K67" s="6"/>
      <c r="L67" s="6"/>
    </row>
    <row r="68" customFormat="false" ht="26.85" hidden="false" customHeight="false" outlineLevel="0" collapsed="false">
      <c r="A68" s="5" t="s">
        <v>367</v>
      </c>
      <c r="B68" s="5" t="s">
        <v>287</v>
      </c>
      <c r="C68" s="5" t="s">
        <v>368</v>
      </c>
      <c r="D68" s="5" t="s">
        <v>369</v>
      </c>
      <c r="E68" s="5" t="s">
        <v>370</v>
      </c>
      <c r="F68" s="5" t="s">
        <v>316</v>
      </c>
      <c r="G68" s="5"/>
      <c r="H68" s="5" t="s">
        <v>37</v>
      </c>
      <c r="I68" s="6" t="s">
        <v>38</v>
      </c>
      <c r="J68" s="6"/>
      <c r="K68" s="6"/>
      <c r="L68" s="6"/>
    </row>
    <row r="69" customFormat="false" ht="26.85" hidden="false" customHeight="false" outlineLevel="0" collapsed="false">
      <c r="A69" s="5" t="s">
        <v>371</v>
      </c>
      <c r="B69" s="5" t="s">
        <v>287</v>
      </c>
      <c r="C69" s="5" t="s">
        <v>372</v>
      </c>
      <c r="D69" s="5" t="s">
        <v>373</v>
      </c>
      <c r="E69" s="5" t="s">
        <v>374</v>
      </c>
      <c r="F69" s="5" t="s">
        <v>296</v>
      </c>
      <c r="G69" s="5"/>
      <c r="H69" s="5" t="s">
        <v>37</v>
      </c>
      <c r="I69" s="6" t="s">
        <v>38</v>
      </c>
      <c r="J69" s="6"/>
      <c r="K69" s="6"/>
      <c r="L69" s="6"/>
    </row>
    <row r="70" customFormat="false" ht="26.85" hidden="false" customHeight="false" outlineLevel="0" collapsed="false">
      <c r="A70" s="5" t="s">
        <v>375</v>
      </c>
      <c r="B70" s="5" t="s">
        <v>287</v>
      </c>
      <c r="C70" s="5" t="s">
        <v>376</v>
      </c>
      <c r="D70" s="5" t="s">
        <v>377</v>
      </c>
      <c r="E70" s="5" t="s">
        <v>378</v>
      </c>
      <c r="F70" s="5" t="s">
        <v>296</v>
      </c>
      <c r="G70" s="5"/>
      <c r="H70" s="5" t="s">
        <v>37</v>
      </c>
      <c r="I70" s="6" t="s">
        <v>38</v>
      </c>
      <c r="J70" s="6"/>
      <c r="K70" s="6"/>
      <c r="L70" s="6"/>
    </row>
    <row r="71" customFormat="false" ht="26.85" hidden="false" customHeight="false" outlineLevel="0" collapsed="false">
      <c r="A71" s="5" t="s">
        <v>379</v>
      </c>
      <c r="B71" s="5" t="s">
        <v>287</v>
      </c>
      <c r="C71" s="5" t="s">
        <v>380</v>
      </c>
      <c r="D71" s="5" t="s">
        <v>381</v>
      </c>
      <c r="E71" s="5" t="s">
        <v>382</v>
      </c>
      <c r="F71" s="5" t="s">
        <v>291</v>
      </c>
      <c r="G71" s="5" t="s">
        <v>383</v>
      </c>
      <c r="H71" s="5" t="s">
        <v>37</v>
      </c>
      <c r="I71" s="6" t="s">
        <v>38</v>
      </c>
      <c r="J71" s="6"/>
      <c r="K71" s="6"/>
      <c r="L71" s="6"/>
    </row>
    <row r="72" customFormat="false" ht="26.85" hidden="false" customHeight="false" outlineLevel="0" collapsed="false">
      <c r="A72" s="5" t="s">
        <v>384</v>
      </c>
      <c r="B72" s="5" t="s">
        <v>287</v>
      </c>
      <c r="C72" s="5" t="s">
        <v>385</v>
      </c>
      <c r="D72" s="5" t="s">
        <v>386</v>
      </c>
      <c r="E72" s="5" t="s">
        <v>387</v>
      </c>
      <c r="F72" s="5" t="s">
        <v>296</v>
      </c>
      <c r="G72" s="5"/>
      <c r="H72" s="5" t="s">
        <v>37</v>
      </c>
      <c r="I72" s="6" t="s">
        <v>38</v>
      </c>
      <c r="J72" s="6"/>
      <c r="K72" s="6"/>
      <c r="L72" s="6"/>
    </row>
    <row r="73" customFormat="false" ht="26.85" hidden="false" customHeight="false" outlineLevel="0" collapsed="false">
      <c r="A73" s="5" t="s">
        <v>388</v>
      </c>
      <c r="B73" s="5" t="s">
        <v>287</v>
      </c>
      <c r="C73" s="5" t="s">
        <v>389</v>
      </c>
      <c r="D73" s="5" t="s">
        <v>390</v>
      </c>
      <c r="E73" s="5" t="s">
        <v>391</v>
      </c>
      <c r="F73" s="5" t="s">
        <v>392</v>
      </c>
      <c r="G73" s="5"/>
      <c r="H73" s="5" t="s">
        <v>37</v>
      </c>
      <c r="I73" s="6" t="s">
        <v>38</v>
      </c>
      <c r="J73" s="6"/>
      <c r="K73" s="6"/>
      <c r="L73" s="6"/>
    </row>
    <row r="74" customFormat="false" ht="26.85" hidden="false" customHeight="false" outlineLevel="0" collapsed="false">
      <c r="A74" s="5" t="s">
        <v>393</v>
      </c>
      <c r="B74" s="5" t="s">
        <v>287</v>
      </c>
      <c r="C74" s="5" t="s">
        <v>394</v>
      </c>
      <c r="D74" s="5" t="s">
        <v>395</v>
      </c>
      <c r="E74" s="5" t="s">
        <v>396</v>
      </c>
      <c r="F74" s="5" t="s">
        <v>331</v>
      </c>
      <c r="G74" s="5"/>
      <c r="H74" s="5" t="s">
        <v>75</v>
      </c>
      <c r="I74" s="6" t="s">
        <v>38</v>
      </c>
      <c r="J74" s="6"/>
      <c r="K74" s="6"/>
      <c r="L74" s="6"/>
    </row>
    <row r="75" customFormat="false" ht="26.85" hidden="false" customHeight="false" outlineLevel="0" collapsed="false">
      <c r="A75" s="5" t="s">
        <v>397</v>
      </c>
      <c r="B75" s="5" t="s">
        <v>287</v>
      </c>
      <c r="C75" s="5" t="s">
        <v>398</v>
      </c>
      <c r="D75" s="5" t="s">
        <v>399</v>
      </c>
      <c r="E75" s="5" t="s">
        <v>400</v>
      </c>
      <c r="F75" s="5" t="s">
        <v>311</v>
      </c>
      <c r="G75" s="5"/>
      <c r="H75" s="5" t="s">
        <v>75</v>
      </c>
      <c r="I75" s="6" t="s">
        <v>38</v>
      </c>
      <c r="J75" s="6"/>
      <c r="K75" s="6"/>
      <c r="L75" s="6"/>
    </row>
    <row r="76" customFormat="false" ht="26.85" hidden="false" customHeight="false" outlineLevel="0" collapsed="false">
      <c r="A76" s="5" t="s">
        <v>401</v>
      </c>
      <c r="B76" s="5" t="s">
        <v>287</v>
      </c>
      <c r="C76" s="5" t="s">
        <v>402</v>
      </c>
      <c r="D76" s="5" t="s">
        <v>403</v>
      </c>
      <c r="E76" s="5" t="s">
        <v>404</v>
      </c>
      <c r="F76" s="5" t="s">
        <v>405</v>
      </c>
      <c r="G76" s="5"/>
      <c r="H76" s="5" t="s">
        <v>37</v>
      </c>
      <c r="I76" s="6" t="s">
        <v>38</v>
      </c>
      <c r="J76" s="6"/>
      <c r="K76" s="6"/>
      <c r="L76" s="6"/>
    </row>
    <row r="77" customFormat="false" ht="26.85" hidden="false" customHeight="false" outlineLevel="0" collapsed="false">
      <c r="A77" s="5" t="s">
        <v>406</v>
      </c>
      <c r="B77" s="5" t="s">
        <v>287</v>
      </c>
      <c r="C77" s="5" t="s">
        <v>407</v>
      </c>
      <c r="D77" s="5" t="s">
        <v>408</v>
      </c>
      <c r="E77" s="5" t="s">
        <v>409</v>
      </c>
      <c r="F77" s="5" t="s">
        <v>410</v>
      </c>
      <c r="G77" s="5" t="s">
        <v>411</v>
      </c>
      <c r="H77" s="5" t="s">
        <v>37</v>
      </c>
      <c r="I77" s="6" t="s">
        <v>38</v>
      </c>
      <c r="J77" s="6"/>
      <c r="K77" s="6"/>
      <c r="L77" s="6"/>
    </row>
    <row r="78" customFormat="false" ht="26.85" hidden="false" customHeight="false" outlineLevel="0" collapsed="false">
      <c r="A78" s="5" t="s">
        <v>412</v>
      </c>
      <c r="B78" s="5" t="s">
        <v>287</v>
      </c>
      <c r="C78" s="5" t="s">
        <v>413</v>
      </c>
      <c r="D78" s="5" t="s">
        <v>414</v>
      </c>
      <c r="E78" s="5" t="s">
        <v>415</v>
      </c>
      <c r="F78" s="5" t="s">
        <v>416</v>
      </c>
      <c r="G78" s="5"/>
      <c r="H78" s="5" t="s">
        <v>37</v>
      </c>
      <c r="I78" s="6" t="s">
        <v>38</v>
      </c>
      <c r="J78" s="6"/>
      <c r="K78" s="6"/>
      <c r="L78" s="6"/>
    </row>
    <row r="79" customFormat="false" ht="26.85" hidden="false" customHeight="false" outlineLevel="0" collapsed="false">
      <c r="A79" s="5" t="s">
        <v>417</v>
      </c>
      <c r="B79" s="5" t="s">
        <v>287</v>
      </c>
      <c r="C79" s="5" t="s">
        <v>418</v>
      </c>
      <c r="D79" s="5" t="s">
        <v>419</v>
      </c>
      <c r="E79" s="5" t="s">
        <v>420</v>
      </c>
      <c r="F79" s="5" t="s">
        <v>421</v>
      </c>
      <c r="G79" s="5"/>
      <c r="H79" s="5" t="s">
        <v>37</v>
      </c>
      <c r="I79" s="6" t="s">
        <v>38</v>
      </c>
      <c r="J79" s="6"/>
      <c r="K79" s="6"/>
      <c r="L79" s="6"/>
    </row>
    <row r="80" customFormat="false" ht="26.85" hidden="false" customHeight="false" outlineLevel="0" collapsed="false">
      <c r="A80" s="5" t="s">
        <v>422</v>
      </c>
      <c r="B80" s="5" t="s">
        <v>287</v>
      </c>
      <c r="C80" s="5" t="s">
        <v>423</v>
      </c>
      <c r="D80" s="5" t="s">
        <v>424</v>
      </c>
      <c r="E80" s="5" t="s">
        <v>425</v>
      </c>
      <c r="F80" s="5" t="s">
        <v>426</v>
      </c>
      <c r="G80" s="5"/>
      <c r="H80" s="5" t="s">
        <v>37</v>
      </c>
      <c r="I80" s="6" t="s">
        <v>38</v>
      </c>
      <c r="J80" s="6"/>
      <c r="K80" s="6"/>
      <c r="L80" s="6"/>
    </row>
    <row r="81" customFormat="false" ht="26.85" hidden="false" customHeight="false" outlineLevel="0" collapsed="false">
      <c r="A81" s="5" t="s">
        <v>427</v>
      </c>
      <c r="B81" s="5" t="s">
        <v>287</v>
      </c>
      <c r="C81" s="5" t="s">
        <v>428</v>
      </c>
      <c r="D81" s="5" t="s">
        <v>429</v>
      </c>
      <c r="E81" s="5" t="s">
        <v>430</v>
      </c>
      <c r="F81" s="5" t="s">
        <v>431</v>
      </c>
      <c r="G81" s="5"/>
      <c r="H81" s="5" t="s">
        <v>37</v>
      </c>
      <c r="I81" s="6" t="s">
        <v>38</v>
      </c>
      <c r="J81" s="6"/>
      <c r="K81" s="6"/>
      <c r="L81" s="6"/>
    </row>
    <row r="82" customFormat="false" ht="26.85" hidden="false" customHeight="false" outlineLevel="0" collapsed="false">
      <c r="A82" s="5" t="s">
        <v>432</v>
      </c>
      <c r="B82" s="5" t="s">
        <v>287</v>
      </c>
      <c r="C82" s="5" t="s">
        <v>433</v>
      </c>
      <c r="D82" s="5" t="s">
        <v>434</v>
      </c>
      <c r="E82" s="5" t="s">
        <v>435</v>
      </c>
      <c r="F82" s="5" t="s">
        <v>436</v>
      </c>
      <c r="G82" s="5"/>
      <c r="H82" s="5" t="s">
        <v>37</v>
      </c>
      <c r="I82" s="6" t="s">
        <v>38</v>
      </c>
      <c r="J82" s="6"/>
      <c r="K82" s="6"/>
      <c r="L82" s="6"/>
    </row>
    <row r="83" customFormat="false" ht="26.85" hidden="false" customHeight="false" outlineLevel="0" collapsed="false">
      <c r="A83" s="5" t="s">
        <v>437</v>
      </c>
      <c r="B83" s="5" t="s">
        <v>287</v>
      </c>
      <c r="C83" s="5" t="s">
        <v>438</v>
      </c>
      <c r="D83" s="5" t="s">
        <v>439</v>
      </c>
      <c r="E83" s="5" t="s">
        <v>440</v>
      </c>
      <c r="F83" s="5" t="s">
        <v>441</v>
      </c>
      <c r="G83" s="5"/>
      <c r="H83" s="5" t="s">
        <v>37</v>
      </c>
      <c r="I83" s="6" t="s">
        <v>38</v>
      </c>
      <c r="J83" s="6"/>
      <c r="K83" s="6"/>
      <c r="L83" s="6"/>
    </row>
    <row r="84" customFormat="false" ht="26.85" hidden="false" customHeight="false" outlineLevel="0" collapsed="false">
      <c r="A84" s="5" t="s">
        <v>442</v>
      </c>
      <c r="B84" s="5" t="s">
        <v>287</v>
      </c>
      <c r="C84" s="5" t="s">
        <v>443</v>
      </c>
      <c r="D84" s="5" t="s">
        <v>444</v>
      </c>
      <c r="E84" s="5" t="s">
        <v>445</v>
      </c>
      <c r="F84" s="5" t="s">
        <v>446</v>
      </c>
      <c r="G84" s="5"/>
      <c r="H84" s="5" t="s">
        <v>37</v>
      </c>
      <c r="I84" s="6" t="s">
        <v>38</v>
      </c>
      <c r="J84" s="6"/>
      <c r="K84" s="6"/>
      <c r="L84" s="6"/>
    </row>
    <row r="85" customFormat="false" ht="26.85" hidden="false" customHeight="false" outlineLevel="0" collapsed="false">
      <c r="A85" s="5" t="s">
        <v>447</v>
      </c>
      <c r="B85" s="5" t="s">
        <v>287</v>
      </c>
      <c r="C85" s="5" t="s">
        <v>448</v>
      </c>
      <c r="D85" s="5" t="s">
        <v>449</v>
      </c>
      <c r="E85" s="5" t="s">
        <v>450</v>
      </c>
      <c r="F85" s="5" t="s">
        <v>451</v>
      </c>
      <c r="G85" s="5"/>
      <c r="H85" s="5" t="s">
        <v>37</v>
      </c>
      <c r="I85" s="6" t="s">
        <v>38</v>
      </c>
      <c r="J85" s="6"/>
      <c r="K85" s="6"/>
      <c r="L85" s="6"/>
    </row>
    <row r="86" customFormat="false" ht="26.85" hidden="false" customHeight="false" outlineLevel="0" collapsed="false">
      <c r="A86" s="5" t="s">
        <v>452</v>
      </c>
      <c r="B86" s="5" t="s">
        <v>287</v>
      </c>
      <c r="C86" s="5" t="s">
        <v>453</v>
      </c>
      <c r="D86" s="5" t="s">
        <v>454</v>
      </c>
      <c r="E86" s="5" t="s">
        <v>455</v>
      </c>
      <c r="F86" s="5" t="s">
        <v>456</v>
      </c>
      <c r="G86" s="5"/>
      <c r="H86" s="5" t="s">
        <v>37</v>
      </c>
      <c r="I86" s="6" t="s">
        <v>38</v>
      </c>
      <c r="J86" s="6"/>
      <c r="K86" s="6"/>
      <c r="L86" s="6"/>
    </row>
    <row r="87" customFormat="false" ht="26.85" hidden="false" customHeight="false" outlineLevel="0" collapsed="false">
      <c r="A87" s="5" t="s">
        <v>457</v>
      </c>
      <c r="B87" s="5" t="s">
        <v>287</v>
      </c>
      <c r="C87" s="5" t="s">
        <v>458</v>
      </c>
      <c r="D87" s="5" t="s">
        <v>459</v>
      </c>
      <c r="E87" s="5" t="s">
        <v>460</v>
      </c>
      <c r="F87" s="5" t="s">
        <v>461</v>
      </c>
      <c r="G87" s="5"/>
      <c r="H87" s="5" t="s">
        <v>37</v>
      </c>
      <c r="I87" s="6" t="s">
        <v>38</v>
      </c>
      <c r="J87" s="6"/>
      <c r="K87" s="6"/>
      <c r="L87" s="6"/>
    </row>
    <row r="88" customFormat="false" ht="26.85" hidden="false" customHeight="false" outlineLevel="0" collapsed="false">
      <c r="A88" s="5" t="s">
        <v>462</v>
      </c>
      <c r="B88" s="5" t="s">
        <v>287</v>
      </c>
      <c r="C88" s="5" t="s">
        <v>463</v>
      </c>
      <c r="D88" s="5" t="s">
        <v>464</v>
      </c>
      <c r="E88" s="5" t="s">
        <v>465</v>
      </c>
      <c r="F88" s="5" t="s">
        <v>466</v>
      </c>
      <c r="G88" s="5"/>
      <c r="H88" s="5" t="s">
        <v>37</v>
      </c>
      <c r="I88" s="6" t="s">
        <v>38</v>
      </c>
      <c r="J88" s="6"/>
      <c r="K88" s="6"/>
      <c r="L88" s="6"/>
    </row>
    <row r="89" customFormat="false" ht="26.85" hidden="false" customHeight="false" outlineLevel="0" collapsed="false">
      <c r="A89" s="5" t="s">
        <v>467</v>
      </c>
      <c r="B89" s="5" t="s">
        <v>287</v>
      </c>
      <c r="C89" s="5" t="s">
        <v>468</v>
      </c>
      <c r="D89" s="5" t="s">
        <v>469</v>
      </c>
      <c r="E89" s="5" t="s">
        <v>470</v>
      </c>
      <c r="F89" s="5" t="s">
        <v>471</v>
      </c>
      <c r="G89" s="5"/>
      <c r="H89" s="5" t="s">
        <v>37</v>
      </c>
      <c r="I89" s="6" t="s">
        <v>38</v>
      </c>
      <c r="J89" s="6"/>
      <c r="K89" s="6"/>
      <c r="L89" s="6"/>
    </row>
    <row r="90" customFormat="false" ht="26.85" hidden="false" customHeight="false" outlineLevel="0" collapsed="false">
      <c r="A90" s="5" t="s">
        <v>472</v>
      </c>
      <c r="B90" s="5" t="s">
        <v>287</v>
      </c>
      <c r="C90" s="5" t="s">
        <v>473</v>
      </c>
      <c r="D90" s="5" t="s">
        <v>474</v>
      </c>
      <c r="E90" s="5" t="s">
        <v>475</v>
      </c>
      <c r="F90" s="5" t="s">
        <v>476</v>
      </c>
      <c r="G90" s="5"/>
      <c r="H90" s="5" t="s">
        <v>37</v>
      </c>
      <c r="I90" s="6" t="s">
        <v>38</v>
      </c>
      <c r="J90" s="6"/>
      <c r="K90" s="6"/>
      <c r="L90" s="6"/>
    </row>
    <row r="91" customFormat="false" ht="26.85" hidden="false" customHeight="false" outlineLevel="0" collapsed="false">
      <c r="A91" s="5" t="s">
        <v>477</v>
      </c>
      <c r="B91" s="5" t="s">
        <v>287</v>
      </c>
      <c r="C91" s="5" t="s">
        <v>478</v>
      </c>
      <c r="D91" s="5" t="s">
        <v>479</v>
      </c>
      <c r="E91" s="5" t="s">
        <v>480</v>
      </c>
      <c r="F91" s="5" t="s">
        <v>481</v>
      </c>
      <c r="G91" s="5"/>
      <c r="H91" s="5" t="s">
        <v>37</v>
      </c>
      <c r="I91" s="6" t="s">
        <v>38</v>
      </c>
      <c r="J91" s="6"/>
      <c r="K91" s="6"/>
      <c r="L91" s="6"/>
    </row>
    <row r="92" customFormat="false" ht="26.85" hidden="false" customHeight="false" outlineLevel="0" collapsed="false">
      <c r="A92" s="5" t="s">
        <v>482</v>
      </c>
      <c r="B92" s="5" t="s">
        <v>287</v>
      </c>
      <c r="C92" s="5" t="s">
        <v>483</v>
      </c>
      <c r="D92" s="5" t="s">
        <v>484</v>
      </c>
      <c r="E92" s="5" t="s">
        <v>485</v>
      </c>
      <c r="F92" s="5" t="s">
        <v>471</v>
      </c>
      <c r="G92" s="5"/>
      <c r="H92" s="5" t="s">
        <v>37</v>
      </c>
      <c r="I92" s="6" t="s">
        <v>38</v>
      </c>
      <c r="J92" s="6"/>
      <c r="K92" s="6"/>
      <c r="L92" s="6"/>
    </row>
    <row r="93" customFormat="false" ht="26.85" hidden="false" customHeight="false" outlineLevel="0" collapsed="false">
      <c r="A93" s="5" t="s">
        <v>486</v>
      </c>
      <c r="B93" s="5" t="s">
        <v>287</v>
      </c>
      <c r="C93" s="5" t="s">
        <v>487</v>
      </c>
      <c r="D93" s="5" t="s">
        <v>488</v>
      </c>
      <c r="E93" s="5" t="s">
        <v>489</v>
      </c>
      <c r="F93" s="5" t="s">
        <v>490</v>
      </c>
      <c r="G93" s="5"/>
      <c r="H93" s="5" t="s">
        <v>75</v>
      </c>
      <c r="I93" s="6" t="s">
        <v>38</v>
      </c>
      <c r="J93" s="6"/>
      <c r="K93" s="6"/>
      <c r="L93" s="6"/>
    </row>
    <row r="94" customFormat="false" ht="26.85" hidden="false" customHeight="false" outlineLevel="0" collapsed="false">
      <c r="A94" s="5" t="s">
        <v>491</v>
      </c>
      <c r="B94" s="5" t="s">
        <v>287</v>
      </c>
      <c r="C94" s="5" t="s">
        <v>492</v>
      </c>
      <c r="D94" s="5" t="s">
        <v>493</v>
      </c>
      <c r="E94" s="5" t="s">
        <v>494</v>
      </c>
      <c r="F94" s="5" t="s">
        <v>495</v>
      </c>
      <c r="G94" s="5"/>
      <c r="H94" s="5" t="s">
        <v>37</v>
      </c>
      <c r="I94" s="6" t="s">
        <v>38</v>
      </c>
      <c r="J94" s="6"/>
      <c r="K94" s="6"/>
      <c r="L94" s="6"/>
    </row>
    <row r="95" customFormat="false" ht="26.85" hidden="false" customHeight="false" outlineLevel="0" collapsed="false">
      <c r="A95" s="5" t="s">
        <v>496</v>
      </c>
      <c r="B95" s="5" t="s">
        <v>287</v>
      </c>
      <c r="C95" s="5" t="s">
        <v>497</v>
      </c>
      <c r="D95" s="5" t="s">
        <v>498</v>
      </c>
      <c r="E95" s="5" t="s">
        <v>499</v>
      </c>
      <c r="F95" s="5" t="s">
        <v>500</v>
      </c>
      <c r="G95" s="5"/>
      <c r="H95" s="5" t="s">
        <v>37</v>
      </c>
      <c r="I95" s="6" t="s">
        <v>38</v>
      </c>
      <c r="J95" s="6"/>
      <c r="K95" s="6"/>
      <c r="L95" s="6"/>
    </row>
    <row r="96" customFormat="false" ht="26.85" hidden="false" customHeight="false" outlineLevel="0" collapsed="false">
      <c r="A96" s="5" t="s">
        <v>501</v>
      </c>
      <c r="B96" s="5" t="s">
        <v>287</v>
      </c>
      <c r="C96" s="5" t="s">
        <v>502</v>
      </c>
      <c r="D96" s="5" t="s">
        <v>503</v>
      </c>
      <c r="E96" s="5" t="s">
        <v>504</v>
      </c>
      <c r="F96" s="5" t="s">
        <v>505</v>
      </c>
      <c r="G96" s="5"/>
      <c r="H96" s="5" t="s">
        <v>37</v>
      </c>
      <c r="I96" s="6" t="s">
        <v>38</v>
      </c>
      <c r="J96" s="6"/>
      <c r="K96" s="6"/>
      <c r="L96" s="6"/>
    </row>
    <row r="97" customFormat="false" ht="26.85" hidden="false" customHeight="false" outlineLevel="0" collapsed="false">
      <c r="A97" s="5" t="s">
        <v>506</v>
      </c>
      <c r="B97" s="5" t="s">
        <v>287</v>
      </c>
      <c r="C97" s="5" t="s">
        <v>507</v>
      </c>
      <c r="D97" s="5" t="s">
        <v>508</v>
      </c>
      <c r="E97" s="5" t="s">
        <v>509</v>
      </c>
      <c r="F97" s="5" t="s">
        <v>490</v>
      </c>
      <c r="G97" s="5"/>
      <c r="H97" s="5" t="s">
        <v>75</v>
      </c>
      <c r="I97" s="6" t="s">
        <v>38</v>
      </c>
      <c r="J97" s="6"/>
      <c r="K97" s="6"/>
      <c r="L97" s="6"/>
    </row>
    <row r="98" customFormat="false" ht="26.85" hidden="false" customHeight="false" outlineLevel="0" collapsed="false">
      <c r="A98" s="5" t="s">
        <v>510</v>
      </c>
      <c r="B98" s="5" t="s">
        <v>287</v>
      </c>
      <c r="C98" s="5" t="s">
        <v>511</v>
      </c>
      <c r="D98" s="5" t="s">
        <v>512</v>
      </c>
      <c r="E98" s="5" t="s">
        <v>513</v>
      </c>
      <c r="F98" s="5" t="s">
        <v>514</v>
      </c>
      <c r="G98" s="5"/>
      <c r="H98" s="5" t="s">
        <v>37</v>
      </c>
      <c r="I98" s="6" t="s">
        <v>38</v>
      </c>
      <c r="J98" s="6"/>
      <c r="K98" s="6"/>
      <c r="L98" s="6"/>
    </row>
    <row r="99" customFormat="false" ht="26.85" hidden="false" customHeight="false" outlineLevel="0" collapsed="false">
      <c r="A99" s="5" t="s">
        <v>515</v>
      </c>
      <c r="B99" s="5" t="s">
        <v>287</v>
      </c>
      <c r="C99" s="5" t="s">
        <v>516</v>
      </c>
      <c r="D99" s="5" t="s">
        <v>517</v>
      </c>
      <c r="E99" s="5" t="s">
        <v>518</v>
      </c>
      <c r="F99" s="5" t="s">
        <v>519</v>
      </c>
      <c r="G99" s="5" t="s">
        <v>520</v>
      </c>
      <c r="H99" s="5" t="s">
        <v>521</v>
      </c>
      <c r="I99" s="6" t="s">
        <v>38</v>
      </c>
      <c r="J99" s="6"/>
      <c r="K99" s="6"/>
      <c r="L99" s="6"/>
    </row>
    <row r="100" customFormat="false" ht="26.85" hidden="false" customHeight="false" outlineLevel="0" collapsed="false">
      <c r="A100" s="5" t="s">
        <v>522</v>
      </c>
      <c r="B100" s="5" t="s">
        <v>287</v>
      </c>
      <c r="C100" s="5" t="s">
        <v>523</v>
      </c>
      <c r="D100" s="5" t="s">
        <v>524</v>
      </c>
      <c r="E100" s="5" t="s">
        <v>525</v>
      </c>
      <c r="F100" s="5" t="s">
        <v>471</v>
      </c>
      <c r="G100" s="5"/>
      <c r="H100" s="5" t="s">
        <v>37</v>
      </c>
      <c r="I100" s="6" t="s">
        <v>38</v>
      </c>
      <c r="J100" s="6"/>
      <c r="K100" s="6"/>
      <c r="L100" s="6"/>
    </row>
    <row r="101" customFormat="false" ht="26.85" hidden="false" customHeight="false" outlineLevel="0" collapsed="false">
      <c r="A101" s="5" t="s">
        <v>526</v>
      </c>
      <c r="B101" s="5" t="s">
        <v>287</v>
      </c>
      <c r="C101" s="5" t="s">
        <v>527</v>
      </c>
      <c r="D101" s="5" t="s">
        <v>528</v>
      </c>
      <c r="E101" s="5" t="s">
        <v>529</v>
      </c>
      <c r="F101" s="5" t="s">
        <v>481</v>
      </c>
      <c r="G101" s="5"/>
      <c r="H101" s="5" t="s">
        <v>37</v>
      </c>
      <c r="I101" s="6" t="s">
        <v>38</v>
      </c>
      <c r="J101" s="6"/>
      <c r="K101" s="6"/>
      <c r="L101" s="6"/>
    </row>
    <row r="102" customFormat="false" ht="26.85" hidden="false" customHeight="false" outlineLevel="0" collapsed="false">
      <c r="A102" s="5" t="s">
        <v>530</v>
      </c>
      <c r="B102" s="5" t="s">
        <v>531</v>
      </c>
      <c r="C102" s="5" t="s">
        <v>532</v>
      </c>
      <c r="D102" s="5" t="s">
        <v>533</v>
      </c>
      <c r="E102" s="5" t="s">
        <v>534</v>
      </c>
      <c r="F102" s="5" t="s">
        <v>535</v>
      </c>
      <c r="G102" s="5"/>
      <c r="H102" s="5" t="s">
        <v>37</v>
      </c>
      <c r="I102" s="6" t="s">
        <v>38</v>
      </c>
      <c r="J102" s="6"/>
      <c r="K102" s="6"/>
      <c r="L102" s="6"/>
    </row>
    <row r="103" customFormat="false" ht="15" hidden="false" customHeight="false" outlineLevel="0" collapsed="false">
      <c r="A103" s="5" t="s">
        <v>536</v>
      </c>
      <c r="B103" s="5" t="s">
        <v>531</v>
      </c>
      <c r="C103" s="5" t="s">
        <v>537</v>
      </c>
      <c r="D103" s="5" t="s">
        <v>538</v>
      </c>
      <c r="E103" s="5" t="s">
        <v>539</v>
      </c>
      <c r="F103" s="5" t="s">
        <v>540</v>
      </c>
      <c r="G103" s="5"/>
      <c r="H103" s="5" t="s">
        <v>37</v>
      </c>
      <c r="I103" s="6" t="s">
        <v>38</v>
      </c>
      <c r="J103" s="6"/>
      <c r="K103" s="6"/>
      <c r="L103" s="6"/>
    </row>
    <row r="104" customFormat="false" ht="15" hidden="false" customHeight="false" outlineLevel="0" collapsed="false">
      <c r="A104" s="5" t="s">
        <v>541</v>
      </c>
      <c r="B104" s="5" t="s">
        <v>531</v>
      </c>
      <c r="C104" s="5" t="s">
        <v>542</v>
      </c>
      <c r="D104" s="5" t="s">
        <v>543</v>
      </c>
      <c r="E104" s="5" t="s">
        <v>544</v>
      </c>
      <c r="F104" s="5" t="s">
        <v>540</v>
      </c>
      <c r="G104" s="5"/>
      <c r="H104" s="5" t="s">
        <v>37</v>
      </c>
      <c r="I104" s="6" t="s">
        <v>38</v>
      </c>
      <c r="J104" s="6"/>
      <c r="K104" s="6"/>
      <c r="L104" s="6"/>
    </row>
    <row r="105" customFormat="false" ht="15" hidden="false" customHeight="false" outlineLevel="0" collapsed="false">
      <c r="A105" s="5" t="s">
        <v>545</v>
      </c>
      <c r="B105" s="5" t="s">
        <v>531</v>
      </c>
      <c r="C105" s="5" t="s">
        <v>546</v>
      </c>
      <c r="D105" s="5" t="s">
        <v>547</v>
      </c>
      <c r="E105" s="5" t="s">
        <v>548</v>
      </c>
      <c r="F105" s="5" t="s">
        <v>540</v>
      </c>
      <c r="G105" s="5"/>
      <c r="H105" s="5" t="s">
        <v>37</v>
      </c>
      <c r="I105" s="6" t="s">
        <v>38</v>
      </c>
      <c r="J105" s="6"/>
      <c r="K105" s="6"/>
      <c r="L105" s="6"/>
    </row>
    <row r="106" customFormat="false" ht="26.85" hidden="false" customHeight="false" outlineLevel="0" collapsed="false">
      <c r="A106" s="5" t="s">
        <v>549</v>
      </c>
      <c r="B106" s="5" t="s">
        <v>531</v>
      </c>
      <c r="C106" s="5" t="s">
        <v>550</v>
      </c>
      <c r="D106" s="5" t="s">
        <v>551</v>
      </c>
      <c r="E106" s="5" t="s">
        <v>552</v>
      </c>
      <c r="F106" s="5" t="s">
        <v>540</v>
      </c>
      <c r="G106" s="5" t="s">
        <v>553</v>
      </c>
      <c r="H106" s="5" t="s">
        <v>75</v>
      </c>
      <c r="I106" s="6" t="s">
        <v>38</v>
      </c>
      <c r="J106" s="6"/>
      <c r="K106" s="6"/>
      <c r="L106" s="6"/>
    </row>
    <row r="107" customFormat="false" ht="15" hidden="false" customHeight="false" outlineLevel="0" collapsed="false">
      <c r="A107" s="5" t="s">
        <v>554</v>
      </c>
      <c r="B107" s="5" t="s">
        <v>531</v>
      </c>
      <c r="C107" s="5" t="s">
        <v>555</v>
      </c>
      <c r="D107" s="5" t="s">
        <v>556</v>
      </c>
      <c r="E107" s="5" t="s">
        <v>557</v>
      </c>
      <c r="F107" s="5" t="s">
        <v>540</v>
      </c>
      <c r="G107" s="5"/>
      <c r="H107" s="5" t="s">
        <v>37</v>
      </c>
      <c r="I107" s="6" t="s">
        <v>38</v>
      </c>
      <c r="J107" s="6"/>
      <c r="K107" s="6"/>
      <c r="L107" s="6"/>
    </row>
    <row r="108" customFormat="false" ht="15" hidden="false" customHeight="false" outlineLevel="0" collapsed="false">
      <c r="A108" s="5" t="s">
        <v>558</v>
      </c>
      <c r="B108" s="5" t="s">
        <v>531</v>
      </c>
      <c r="C108" s="5" t="s">
        <v>559</v>
      </c>
      <c r="D108" s="5" t="s">
        <v>560</v>
      </c>
      <c r="E108" s="5" t="s">
        <v>561</v>
      </c>
      <c r="F108" s="5" t="s">
        <v>540</v>
      </c>
      <c r="G108" s="5"/>
      <c r="H108" s="5" t="s">
        <v>37</v>
      </c>
      <c r="I108" s="6" t="s">
        <v>38</v>
      </c>
      <c r="J108" s="6"/>
      <c r="K108" s="6"/>
      <c r="L108" s="6"/>
    </row>
    <row r="109" customFormat="false" ht="15" hidden="false" customHeight="false" outlineLevel="0" collapsed="false">
      <c r="A109" s="5" t="s">
        <v>562</v>
      </c>
      <c r="B109" s="5" t="s">
        <v>531</v>
      </c>
      <c r="C109" s="5" t="s">
        <v>563</v>
      </c>
      <c r="D109" s="5" t="s">
        <v>564</v>
      </c>
      <c r="E109" s="5" t="s">
        <v>565</v>
      </c>
      <c r="F109" s="5" t="s">
        <v>540</v>
      </c>
      <c r="G109" s="5"/>
      <c r="H109" s="5" t="s">
        <v>37</v>
      </c>
      <c r="I109" s="6" t="s">
        <v>38</v>
      </c>
      <c r="J109" s="6"/>
      <c r="K109" s="6"/>
      <c r="L109" s="6"/>
    </row>
    <row r="110" customFormat="false" ht="15" hidden="false" customHeight="false" outlineLevel="0" collapsed="false">
      <c r="A110" s="5" t="s">
        <v>566</v>
      </c>
      <c r="B110" s="5" t="s">
        <v>531</v>
      </c>
      <c r="C110" s="5" t="s">
        <v>567</v>
      </c>
      <c r="D110" s="5" t="s">
        <v>568</v>
      </c>
      <c r="E110" s="5" t="s">
        <v>569</v>
      </c>
      <c r="F110" s="5" t="s">
        <v>540</v>
      </c>
      <c r="G110" s="5"/>
      <c r="H110" s="5" t="s">
        <v>37</v>
      </c>
      <c r="I110" s="6" t="s">
        <v>38</v>
      </c>
      <c r="J110" s="6"/>
      <c r="K110" s="6"/>
      <c r="L110" s="6"/>
    </row>
    <row r="111" customFormat="false" ht="15" hidden="false" customHeight="false" outlineLevel="0" collapsed="false">
      <c r="A111" s="5" t="s">
        <v>570</v>
      </c>
      <c r="B111" s="5" t="s">
        <v>531</v>
      </c>
      <c r="C111" s="5" t="s">
        <v>571</v>
      </c>
      <c r="D111" s="5" t="s">
        <v>572</v>
      </c>
      <c r="E111" s="5" t="s">
        <v>573</v>
      </c>
      <c r="F111" s="5" t="s">
        <v>540</v>
      </c>
      <c r="G111" s="5"/>
      <c r="H111" s="5" t="s">
        <v>37</v>
      </c>
      <c r="I111" s="6" t="s">
        <v>38</v>
      </c>
      <c r="J111" s="6"/>
      <c r="K111" s="6"/>
      <c r="L111" s="6"/>
    </row>
    <row r="112" customFormat="false" ht="15" hidden="false" customHeight="false" outlineLevel="0" collapsed="false">
      <c r="A112" s="5" t="s">
        <v>574</v>
      </c>
      <c r="B112" s="5" t="s">
        <v>531</v>
      </c>
      <c r="C112" s="5" t="s">
        <v>575</v>
      </c>
      <c r="D112" s="5" t="s">
        <v>576</v>
      </c>
      <c r="E112" s="5" t="s">
        <v>577</v>
      </c>
      <c r="F112" s="5" t="s">
        <v>540</v>
      </c>
      <c r="G112" s="5"/>
      <c r="H112" s="5" t="s">
        <v>37</v>
      </c>
      <c r="I112" s="6" t="s">
        <v>38</v>
      </c>
      <c r="J112" s="6"/>
      <c r="K112" s="6"/>
      <c r="L112" s="6"/>
    </row>
    <row r="113" customFormat="false" ht="15" hidden="false" customHeight="false" outlineLevel="0" collapsed="false">
      <c r="A113" s="5" t="s">
        <v>578</v>
      </c>
      <c r="B113" s="5" t="s">
        <v>531</v>
      </c>
      <c r="C113" s="5" t="s">
        <v>579</v>
      </c>
      <c r="D113" s="5" t="s">
        <v>580</v>
      </c>
      <c r="E113" s="5" t="s">
        <v>581</v>
      </c>
      <c r="F113" s="5" t="s">
        <v>540</v>
      </c>
      <c r="G113" s="5"/>
      <c r="H113" s="5" t="s">
        <v>37</v>
      </c>
      <c r="I113" s="6" t="s">
        <v>38</v>
      </c>
      <c r="J113" s="6"/>
      <c r="K113" s="6"/>
      <c r="L113" s="6"/>
    </row>
    <row r="114" customFormat="false" ht="26.85" hidden="false" customHeight="false" outlineLevel="0" collapsed="false">
      <c r="A114" s="5" t="s">
        <v>582</v>
      </c>
      <c r="B114" s="5" t="s">
        <v>531</v>
      </c>
      <c r="C114" s="5" t="s">
        <v>583</v>
      </c>
      <c r="D114" s="5" t="s">
        <v>584</v>
      </c>
      <c r="E114" s="5" t="s">
        <v>585</v>
      </c>
      <c r="F114" s="5" t="s">
        <v>586</v>
      </c>
      <c r="G114" s="5"/>
      <c r="H114" s="5" t="s">
        <v>37</v>
      </c>
      <c r="I114" s="6" t="s">
        <v>38</v>
      </c>
      <c r="J114" s="6"/>
      <c r="K114" s="6"/>
      <c r="L114" s="6"/>
    </row>
    <row r="115" customFormat="false" ht="15" hidden="false" customHeight="false" outlineLevel="0" collapsed="false">
      <c r="A115" s="5" t="s">
        <v>587</v>
      </c>
      <c r="B115" s="5" t="s">
        <v>531</v>
      </c>
      <c r="C115" s="5" t="s">
        <v>588</v>
      </c>
      <c r="D115" s="5" t="s">
        <v>589</v>
      </c>
      <c r="E115" s="5" t="s">
        <v>590</v>
      </c>
      <c r="F115" s="5" t="s">
        <v>591</v>
      </c>
      <c r="G115" s="5"/>
      <c r="H115" s="5" t="s">
        <v>37</v>
      </c>
      <c r="I115" s="6" t="s">
        <v>38</v>
      </c>
      <c r="J115" s="6"/>
      <c r="K115" s="6"/>
      <c r="L115" s="6"/>
    </row>
    <row r="116" customFormat="false" ht="26.85" hidden="false" customHeight="false" outlineLevel="0" collapsed="false">
      <c r="A116" s="5" t="s">
        <v>592</v>
      </c>
      <c r="B116" s="5" t="s">
        <v>531</v>
      </c>
      <c r="C116" s="5" t="s">
        <v>593</v>
      </c>
      <c r="D116" s="5" t="s">
        <v>594</v>
      </c>
      <c r="E116" s="5" t="s">
        <v>595</v>
      </c>
      <c r="F116" s="5" t="s">
        <v>591</v>
      </c>
      <c r="G116" s="5"/>
      <c r="H116" s="5" t="s">
        <v>37</v>
      </c>
      <c r="I116" s="6" t="s">
        <v>38</v>
      </c>
      <c r="J116" s="6"/>
      <c r="K116" s="6"/>
      <c r="L116" s="6"/>
    </row>
    <row r="117" customFormat="false" ht="26.85" hidden="false" customHeight="false" outlineLevel="0" collapsed="false">
      <c r="A117" s="5" t="s">
        <v>596</v>
      </c>
      <c r="B117" s="5" t="s">
        <v>531</v>
      </c>
      <c r="C117" s="5" t="s">
        <v>597</v>
      </c>
      <c r="D117" s="5" t="s">
        <v>598</v>
      </c>
      <c r="E117" s="5" t="s">
        <v>599</v>
      </c>
      <c r="F117" s="5" t="s">
        <v>591</v>
      </c>
      <c r="G117" s="5"/>
      <c r="H117" s="5" t="s">
        <v>37</v>
      </c>
      <c r="I117" s="6" t="s">
        <v>38</v>
      </c>
      <c r="J117" s="6"/>
      <c r="K117" s="6"/>
      <c r="L117" s="6"/>
    </row>
    <row r="118" customFormat="false" ht="15" hidden="false" customHeight="false" outlineLevel="0" collapsed="false">
      <c r="A118" s="5" t="s">
        <v>600</v>
      </c>
      <c r="B118" s="5" t="s">
        <v>531</v>
      </c>
      <c r="C118" s="5" t="s">
        <v>601</v>
      </c>
      <c r="D118" s="5" t="s">
        <v>602</v>
      </c>
      <c r="E118" s="5" t="s">
        <v>603</v>
      </c>
      <c r="F118" s="5" t="s">
        <v>591</v>
      </c>
      <c r="G118" s="5"/>
      <c r="H118" s="5" t="s">
        <v>37</v>
      </c>
      <c r="I118" s="6" t="s">
        <v>38</v>
      </c>
      <c r="J118" s="6"/>
      <c r="K118" s="6"/>
      <c r="L118" s="6"/>
    </row>
    <row r="119" customFormat="false" ht="26.85" hidden="false" customHeight="false" outlineLevel="0" collapsed="false">
      <c r="A119" s="5" t="s">
        <v>604</v>
      </c>
      <c r="B119" s="5" t="s">
        <v>531</v>
      </c>
      <c r="C119" s="5" t="s">
        <v>605</v>
      </c>
      <c r="D119" s="5" t="s">
        <v>606</v>
      </c>
      <c r="E119" s="5" t="s">
        <v>607</v>
      </c>
      <c r="F119" s="5" t="s">
        <v>591</v>
      </c>
      <c r="G119" s="5"/>
      <c r="H119" s="5" t="s">
        <v>37</v>
      </c>
      <c r="I119" s="6" t="s">
        <v>38</v>
      </c>
      <c r="J119" s="6"/>
      <c r="K119" s="6"/>
      <c r="L119" s="6"/>
    </row>
    <row r="120" customFormat="false" ht="15" hidden="false" customHeight="false" outlineLevel="0" collapsed="false">
      <c r="A120" s="5" t="s">
        <v>608</v>
      </c>
      <c r="B120" s="5" t="s">
        <v>531</v>
      </c>
      <c r="C120" s="5" t="s">
        <v>609</v>
      </c>
      <c r="D120" s="5" t="s">
        <v>610</v>
      </c>
      <c r="E120" s="5" t="s">
        <v>611</v>
      </c>
      <c r="F120" s="5" t="s">
        <v>591</v>
      </c>
      <c r="G120" s="5"/>
      <c r="H120" s="5" t="s">
        <v>37</v>
      </c>
      <c r="I120" s="6" t="s">
        <v>38</v>
      </c>
      <c r="J120" s="6"/>
      <c r="K120" s="6"/>
      <c r="L120" s="6"/>
    </row>
    <row r="121" customFormat="false" ht="15" hidden="false" customHeight="false" outlineLevel="0" collapsed="false">
      <c r="A121" s="5" t="s">
        <v>612</v>
      </c>
      <c r="B121" s="5" t="s">
        <v>531</v>
      </c>
      <c r="C121" s="5" t="s">
        <v>613</v>
      </c>
      <c r="D121" s="5" t="s">
        <v>614</v>
      </c>
      <c r="E121" s="5" t="s">
        <v>615</v>
      </c>
      <c r="F121" s="5" t="s">
        <v>591</v>
      </c>
      <c r="G121" s="5"/>
      <c r="H121" s="5" t="s">
        <v>37</v>
      </c>
      <c r="I121" s="6" t="s">
        <v>38</v>
      </c>
      <c r="J121" s="6"/>
      <c r="K121" s="6"/>
      <c r="L121" s="6"/>
    </row>
    <row r="122" customFormat="false" ht="26.85" hidden="false" customHeight="false" outlineLevel="0" collapsed="false">
      <c r="A122" s="5" t="s">
        <v>616</v>
      </c>
      <c r="B122" s="5" t="s">
        <v>531</v>
      </c>
      <c r="C122" s="5" t="s">
        <v>617</v>
      </c>
      <c r="D122" s="5" t="s">
        <v>618</v>
      </c>
      <c r="E122" s="5" t="s">
        <v>619</v>
      </c>
      <c r="F122" s="5" t="s">
        <v>591</v>
      </c>
      <c r="G122" s="5"/>
      <c r="H122" s="5" t="s">
        <v>37</v>
      </c>
      <c r="I122" s="6" t="s">
        <v>38</v>
      </c>
      <c r="J122" s="6"/>
      <c r="K122" s="6"/>
      <c r="L122" s="6"/>
    </row>
    <row r="123" customFormat="false" ht="15" hidden="false" customHeight="false" outlineLevel="0" collapsed="false">
      <c r="A123" s="5" t="s">
        <v>620</v>
      </c>
      <c r="B123" s="5" t="s">
        <v>531</v>
      </c>
      <c r="C123" s="5" t="s">
        <v>621</v>
      </c>
      <c r="D123" s="5" t="s">
        <v>622</v>
      </c>
      <c r="E123" s="5" t="s">
        <v>623</v>
      </c>
      <c r="F123" s="5" t="s">
        <v>591</v>
      </c>
      <c r="G123" s="5"/>
      <c r="H123" s="5" t="s">
        <v>37</v>
      </c>
      <c r="I123" s="6" t="s">
        <v>38</v>
      </c>
      <c r="J123" s="6"/>
      <c r="K123" s="6"/>
      <c r="L123" s="6"/>
    </row>
    <row r="124" customFormat="false" ht="15" hidden="false" customHeight="false" outlineLevel="0" collapsed="false">
      <c r="A124" s="5" t="s">
        <v>624</v>
      </c>
      <c r="B124" s="5" t="s">
        <v>531</v>
      </c>
      <c r="C124" s="5" t="s">
        <v>625</v>
      </c>
      <c r="D124" s="5" t="s">
        <v>626</v>
      </c>
      <c r="E124" s="5" t="s">
        <v>627</v>
      </c>
      <c r="F124" s="5" t="s">
        <v>591</v>
      </c>
      <c r="G124" s="5"/>
      <c r="H124" s="5" t="s">
        <v>37</v>
      </c>
      <c r="I124" s="6" t="s">
        <v>38</v>
      </c>
      <c r="J124" s="6"/>
      <c r="K124" s="6"/>
      <c r="L124" s="6"/>
    </row>
    <row r="125" customFormat="false" ht="26.85" hidden="false" customHeight="false" outlineLevel="0" collapsed="false">
      <c r="A125" s="5" t="s">
        <v>628</v>
      </c>
      <c r="B125" s="5" t="s">
        <v>531</v>
      </c>
      <c r="C125" s="5" t="s">
        <v>629</v>
      </c>
      <c r="D125" s="5" t="s">
        <v>630</v>
      </c>
      <c r="E125" s="5" t="s">
        <v>631</v>
      </c>
      <c r="F125" s="5" t="s">
        <v>632</v>
      </c>
      <c r="G125" s="5" t="s">
        <v>633</v>
      </c>
      <c r="H125" s="5" t="s">
        <v>75</v>
      </c>
      <c r="I125" s="6" t="s">
        <v>38</v>
      </c>
      <c r="J125" s="6"/>
      <c r="K125" s="6"/>
      <c r="L125" s="6"/>
    </row>
    <row r="126" customFormat="false" ht="15" hidden="false" customHeight="false" outlineLevel="0" collapsed="false">
      <c r="A126" s="5" t="s">
        <v>634</v>
      </c>
      <c r="B126" s="5" t="s">
        <v>531</v>
      </c>
      <c r="C126" s="5" t="s">
        <v>635</v>
      </c>
      <c r="D126" s="5" t="s">
        <v>636</v>
      </c>
      <c r="E126" s="5" t="s">
        <v>637</v>
      </c>
      <c r="F126" s="5" t="s">
        <v>540</v>
      </c>
      <c r="G126" s="5"/>
      <c r="H126" s="5" t="s">
        <v>37</v>
      </c>
      <c r="I126" s="6" t="s">
        <v>38</v>
      </c>
      <c r="J126" s="6"/>
      <c r="K126" s="6"/>
      <c r="L126" s="6"/>
    </row>
    <row r="127" customFormat="false" ht="26.85" hidden="false" customHeight="false" outlineLevel="0" collapsed="false">
      <c r="A127" s="5" t="s">
        <v>638</v>
      </c>
      <c r="B127" s="5" t="s">
        <v>531</v>
      </c>
      <c r="C127" s="5" t="s">
        <v>639</v>
      </c>
      <c r="D127" s="5" t="s">
        <v>640</v>
      </c>
      <c r="E127" s="5" t="s">
        <v>641</v>
      </c>
      <c r="F127" s="5" t="s">
        <v>540</v>
      </c>
      <c r="G127" s="5"/>
      <c r="H127" s="5" t="s">
        <v>37</v>
      </c>
      <c r="I127" s="6" t="s">
        <v>38</v>
      </c>
      <c r="J127" s="6"/>
      <c r="K127" s="6"/>
      <c r="L127" s="6"/>
    </row>
    <row r="128" customFormat="false" ht="26.85" hidden="false" customHeight="false" outlineLevel="0" collapsed="false">
      <c r="A128" s="5" t="s">
        <v>642</v>
      </c>
      <c r="B128" s="5" t="s">
        <v>531</v>
      </c>
      <c r="C128" s="5" t="s">
        <v>643</v>
      </c>
      <c r="D128" s="5" t="s">
        <v>644</v>
      </c>
      <c r="E128" s="5" t="s">
        <v>645</v>
      </c>
      <c r="F128" s="5" t="s">
        <v>540</v>
      </c>
      <c r="G128" s="5"/>
      <c r="H128" s="5" t="s">
        <v>37</v>
      </c>
      <c r="I128" s="6" t="s">
        <v>38</v>
      </c>
      <c r="J128" s="6"/>
      <c r="K128" s="6"/>
      <c r="L128" s="6"/>
    </row>
    <row r="129" customFormat="false" ht="15" hidden="false" customHeight="false" outlineLevel="0" collapsed="false">
      <c r="A129" s="5" t="s">
        <v>646</v>
      </c>
      <c r="B129" s="5" t="s">
        <v>531</v>
      </c>
      <c r="C129" s="5" t="s">
        <v>647</v>
      </c>
      <c r="D129" s="5" t="s">
        <v>648</v>
      </c>
      <c r="E129" s="5" t="s">
        <v>649</v>
      </c>
      <c r="F129" s="5" t="s">
        <v>540</v>
      </c>
      <c r="G129" s="5"/>
      <c r="H129" s="5" t="s">
        <v>37</v>
      </c>
      <c r="I129" s="6" t="s">
        <v>38</v>
      </c>
      <c r="J129" s="6"/>
      <c r="K129" s="6"/>
      <c r="L129" s="6"/>
    </row>
    <row r="130" customFormat="false" ht="26.85" hidden="false" customHeight="false" outlineLevel="0" collapsed="false">
      <c r="A130" s="5" t="s">
        <v>650</v>
      </c>
      <c r="B130" s="5" t="s">
        <v>531</v>
      </c>
      <c r="C130" s="5" t="s">
        <v>651</v>
      </c>
      <c r="D130" s="5" t="s">
        <v>652</v>
      </c>
      <c r="E130" s="5" t="s">
        <v>653</v>
      </c>
      <c r="F130" s="5" t="s">
        <v>540</v>
      </c>
      <c r="G130" s="5"/>
      <c r="H130" s="5" t="s">
        <v>37</v>
      </c>
      <c r="I130" s="6" t="s">
        <v>38</v>
      </c>
      <c r="J130" s="6"/>
      <c r="K130" s="6"/>
      <c r="L130" s="6"/>
    </row>
    <row r="131" customFormat="false" ht="26.85" hidden="false" customHeight="false" outlineLevel="0" collapsed="false">
      <c r="A131" s="5" t="s">
        <v>654</v>
      </c>
      <c r="B131" s="5" t="s">
        <v>531</v>
      </c>
      <c r="C131" s="5" t="s">
        <v>655</v>
      </c>
      <c r="D131" s="5" t="s">
        <v>656</v>
      </c>
      <c r="E131" s="5" t="s">
        <v>657</v>
      </c>
      <c r="F131" s="5" t="s">
        <v>540</v>
      </c>
      <c r="G131" s="5"/>
      <c r="H131" s="5" t="s">
        <v>37</v>
      </c>
      <c r="I131" s="6" t="s">
        <v>38</v>
      </c>
      <c r="J131" s="6"/>
      <c r="K131" s="6"/>
      <c r="L131" s="6"/>
    </row>
    <row r="132" customFormat="false" ht="15" hidden="false" customHeight="false" outlineLevel="0" collapsed="false">
      <c r="A132" s="5" t="s">
        <v>658</v>
      </c>
      <c r="B132" s="5" t="s">
        <v>531</v>
      </c>
      <c r="C132" s="5" t="s">
        <v>659</v>
      </c>
      <c r="D132" s="5" t="s">
        <v>660</v>
      </c>
      <c r="E132" s="5" t="s">
        <v>661</v>
      </c>
      <c r="F132" s="5" t="s">
        <v>540</v>
      </c>
      <c r="G132" s="5"/>
      <c r="H132" s="5" t="s">
        <v>37</v>
      </c>
      <c r="I132" s="6" t="s">
        <v>38</v>
      </c>
      <c r="J132" s="6"/>
      <c r="K132" s="6"/>
      <c r="L132" s="6"/>
    </row>
    <row r="133" customFormat="false" ht="15" hidden="false" customHeight="false" outlineLevel="0" collapsed="false">
      <c r="A133" s="5" t="s">
        <v>662</v>
      </c>
      <c r="B133" s="5" t="s">
        <v>531</v>
      </c>
      <c r="C133" s="5" t="s">
        <v>663</v>
      </c>
      <c r="D133" s="5" t="s">
        <v>664</v>
      </c>
      <c r="E133" s="5" t="s">
        <v>665</v>
      </c>
      <c r="F133" s="5" t="s">
        <v>540</v>
      </c>
      <c r="G133" s="5"/>
      <c r="H133" s="5" t="s">
        <v>37</v>
      </c>
      <c r="I133" s="6" t="s">
        <v>38</v>
      </c>
      <c r="J133" s="6"/>
      <c r="K133" s="6"/>
      <c r="L133" s="6"/>
    </row>
    <row r="134" customFormat="false" ht="26.85" hidden="false" customHeight="false" outlineLevel="0" collapsed="false">
      <c r="A134" s="5" t="s">
        <v>666</v>
      </c>
      <c r="B134" s="5" t="s">
        <v>531</v>
      </c>
      <c r="C134" s="5" t="s">
        <v>667</v>
      </c>
      <c r="D134" s="5" t="s">
        <v>668</v>
      </c>
      <c r="E134" s="5" t="s">
        <v>669</v>
      </c>
      <c r="F134" s="5" t="s">
        <v>670</v>
      </c>
      <c r="G134" s="5"/>
      <c r="H134" s="5" t="s">
        <v>37</v>
      </c>
      <c r="I134" s="6" t="s">
        <v>38</v>
      </c>
      <c r="J134" s="6"/>
      <c r="K134" s="6"/>
      <c r="L134" s="6"/>
    </row>
    <row r="135" customFormat="false" ht="15" hidden="false" customHeight="false" outlineLevel="0" collapsed="false">
      <c r="A135" s="5" t="s">
        <v>671</v>
      </c>
      <c r="B135" s="5" t="s">
        <v>531</v>
      </c>
      <c r="C135" s="5" t="s">
        <v>672</v>
      </c>
      <c r="D135" s="5" t="s">
        <v>673</v>
      </c>
      <c r="E135" s="5" t="s">
        <v>674</v>
      </c>
      <c r="F135" s="5" t="s">
        <v>675</v>
      </c>
      <c r="G135" s="5"/>
      <c r="H135" s="5" t="s">
        <v>37</v>
      </c>
      <c r="I135" s="6" t="s">
        <v>38</v>
      </c>
      <c r="J135" s="6"/>
      <c r="K135" s="6"/>
      <c r="L135" s="6"/>
    </row>
    <row r="136" customFormat="false" ht="26.85" hidden="false" customHeight="false" outlineLevel="0" collapsed="false">
      <c r="A136" s="5" t="s">
        <v>676</v>
      </c>
      <c r="B136" s="5" t="s">
        <v>531</v>
      </c>
      <c r="C136" s="5" t="s">
        <v>677</v>
      </c>
      <c r="D136" s="5" t="s">
        <v>678</v>
      </c>
      <c r="E136" s="5" t="s">
        <v>679</v>
      </c>
      <c r="F136" s="5" t="s">
        <v>675</v>
      </c>
      <c r="G136" s="5"/>
      <c r="H136" s="5" t="s">
        <v>37</v>
      </c>
      <c r="I136" s="6" t="s">
        <v>38</v>
      </c>
      <c r="J136" s="6"/>
      <c r="K136" s="6"/>
      <c r="L136" s="6"/>
    </row>
    <row r="137" customFormat="false" ht="15" hidden="false" customHeight="false" outlineLevel="0" collapsed="false">
      <c r="A137" s="5" t="s">
        <v>680</v>
      </c>
      <c r="B137" s="5" t="s">
        <v>531</v>
      </c>
      <c r="C137" s="5" t="s">
        <v>681</v>
      </c>
      <c r="D137" s="5" t="s">
        <v>682</v>
      </c>
      <c r="E137" s="5" t="s">
        <v>683</v>
      </c>
      <c r="F137" s="5" t="s">
        <v>675</v>
      </c>
      <c r="G137" s="5"/>
      <c r="H137" s="5" t="s">
        <v>37</v>
      </c>
      <c r="I137" s="6" t="s">
        <v>38</v>
      </c>
      <c r="J137" s="6"/>
      <c r="K137" s="6"/>
      <c r="L137" s="6"/>
    </row>
    <row r="138" customFormat="false" ht="26.85" hidden="false" customHeight="false" outlineLevel="0" collapsed="false">
      <c r="A138" s="5" t="s">
        <v>684</v>
      </c>
      <c r="B138" s="5" t="s">
        <v>531</v>
      </c>
      <c r="C138" s="5" t="s">
        <v>685</v>
      </c>
      <c r="D138" s="5" t="s">
        <v>686</v>
      </c>
      <c r="E138" s="5" t="s">
        <v>687</v>
      </c>
      <c r="F138" s="5" t="s">
        <v>675</v>
      </c>
      <c r="G138" s="5"/>
      <c r="H138" s="5" t="s">
        <v>37</v>
      </c>
      <c r="I138" s="6" t="s">
        <v>38</v>
      </c>
      <c r="J138" s="6"/>
      <c r="K138" s="6"/>
      <c r="L138" s="6"/>
    </row>
    <row r="139" customFormat="false" ht="15" hidden="false" customHeight="false" outlineLevel="0" collapsed="false">
      <c r="A139" s="5" t="s">
        <v>688</v>
      </c>
      <c r="B139" s="5" t="s">
        <v>531</v>
      </c>
      <c r="C139" s="5" t="s">
        <v>689</v>
      </c>
      <c r="D139" s="5" t="s">
        <v>690</v>
      </c>
      <c r="E139" s="5" t="s">
        <v>691</v>
      </c>
      <c r="F139" s="5" t="s">
        <v>675</v>
      </c>
      <c r="G139" s="5"/>
      <c r="H139" s="5" t="s">
        <v>37</v>
      </c>
      <c r="I139" s="6" t="s">
        <v>38</v>
      </c>
      <c r="J139" s="6"/>
      <c r="K139" s="6"/>
      <c r="L139" s="6"/>
    </row>
    <row r="140" customFormat="false" ht="26.85" hidden="false" customHeight="false" outlineLevel="0" collapsed="false">
      <c r="A140" s="5" t="s">
        <v>692</v>
      </c>
      <c r="B140" s="5" t="s">
        <v>531</v>
      </c>
      <c r="C140" s="5" t="s">
        <v>693</v>
      </c>
      <c r="D140" s="5" t="s">
        <v>694</v>
      </c>
      <c r="E140" s="5" t="s">
        <v>695</v>
      </c>
      <c r="F140" s="5" t="s">
        <v>675</v>
      </c>
      <c r="G140" s="5"/>
      <c r="H140" s="5" t="s">
        <v>37</v>
      </c>
      <c r="I140" s="6" t="s">
        <v>38</v>
      </c>
      <c r="J140" s="6"/>
      <c r="K140" s="6"/>
      <c r="L140" s="6"/>
    </row>
    <row r="141" customFormat="false" ht="15" hidden="false" customHeight="false" outlineLevel="0" collapsed="false">
      <c r="A141" s="5" t="s">
        <v>696</v>
      </c>
      <c r="B141" s="5" t="s">
        <v>531</v>
      </c>
      <c r="C141" s="5" t="s">
        <v>697</v>
      </c>
      <c r="D141" s="5" t="s">
        <v>698</v>
      </c>
      <c r="E141" s="5" t="s">
        <v>699</v>
      </c>
      <c r="F141" s="5" t="s">
        <v>675</v>
      </c>
      <c r="G141" s="5"/>
      <c r="H141" s="5" t="s">
        <v>37</v>
      </c>
      <c r="I141" s="6" t="s">
        <v>38</v>
      </c>
      <c r="J141" s="6"/>
      <c r="K141" s="6"/>
      <c r="L141" s="6"/>
    </row>
    <row r="142" customFormat="false" ht="15" hidden="false" customHeight="false" outlineLevel="0" collapsed="false">
      <c r="A142" s="5" t="s">
        <v>700</v>
      </c>
      <c r="B142" s="5" t="s">
        <v>531</v>
      </c>
      <c r="C142" s="5" t="s">
        <v>701</v>
      </c>
      <c r="D142" s="5" t="s">
        <v>702</v>
      </c>
      <c r="E142" s="5" t="s">
        <v>703</v>
      </c>
      <c r="F142" s="5" t="s">
        <v>540</v>
      </c>
      <c r="G142" s="5"/>
      <c r="H142" s="5" t="s">
        <v>37</v>
      </c>
      <c r="I142" s="6" t="s">
        <v>38</v>
      </c>
      <c r="J142" s="6"/>
      <c r="K142" s="6"/>
      <c r="L142" s="6"/>
    </row>
    <row r="143" customFormat="false" ht="15" hidden="false" customHeight="false" outlineLevel="0" collapsed="false">
      <c r="A143" s="5" t="s">
        <v>704</v>
      </c>
      <c r="B143" s="5" t="s">
        <v>531</v>
      </c>
      <c r="C143" s="5" t="s">
        <v>705</v>
      </c>
      <c r="D143" s="5" t="s">
        <v>706</v>
      </c>
      <c r="E143" s="5" t="s">
        <v>707</v>
      </c>
      <c r="F143" s="5" t="s">
        <v>540</v>
      </c>
      <c r="G143" s="5"/>
      <c r="H143" s="5" t="s">
        <v>37</v>
      </c>
      <c r="I143" s="6" t="s">
        <v>38</v>
      </c>
      <c r="J143" s="6"/>
      <c r="K143" s="6"/>
      <c r="L143" s="6"/>
    </row>
    <row r="144" customFormat="false" ht="26.85" hidden="false" customHeight="false" outlineLevel="0" collapsed="false">
      <c r="A144" s="5" t="s">
        <v>708</v>
      </c>
      <c r="B144" s="5" t="s">
        <v>531</v>
      </c>
      <c r="C144" s="5" t="s">
        <v>709</v>
      </c>
      <c r="D144" s="5" t="s">
        <v>710</v>
      </c>
      <c r="E144" s="5" t="s">
        <v>711</v>
      </c>
      <c r="F144" s="5" t="s">
        <v>540</v>
      </c>
      <c r="G144" s="5"/>
      <c r="H144" s="5" t="s">
        <v>37</v>
      </c>
      <c r="I144" s="6" t="s">
        <v>38</v>
      </c>
      <c r="J144" s="6"/>
      <c r="K144" s="6"/>
      <c r="L144" s="6"/>
    </row>
    <row r="145" customFormat="false" ht="15" hidden="false" customHeight="false" outlineLevel="0" collapsed="false">
      <c r="A145" s="5" t="s">
        <v>712</v>
      </c>
      <c r="B145" s="5" t="s">
        <v>531</v>
      </c>
      <c r="C145" s="5" t="s">
        <v>713</v>
      </c>
      <c r="D145" s="5" t="s">
        <v>714</v>
      </c>
      <c r="E145" s="5" t="s">
        <v>715</v>
      </c>
      <c r="F145" s="5" t="s">
        <v>540</v>
      </c>
      <c r="G145" s="5"/>
      <c r="H145" s="5" t="s">
        <v>37</v>
      </c>
      <c r="I145" s="6" t="s">
        <v>38</v>
      </c>
      <c r="J145" s="6"/>
      <c r="K145" s="6"/>
      <c r="L145" s="6"/>
    </row>
    <row r="146" customFormat="false" ht="15" hidden="false" customHeight="false" outlineLevel="0" collapsed="false">
      <c r="A146" s="5" t="s">
        <v>716</v>
      </c>
      <c r="B146" s="5" t="s">
        <v>531</v>
      </c>
      <c r="C146" s="5" t="s">
        <v>717</v>
      </c>
      <c r="D146" s="5" t="s">
        <v>718</v>
      </c>
      <c r="E146" s="5" t="s">
        <v>719</v>
      </c>
      <c r="F146" s="5" t="s">
        <v>540</v>
      </c>
      <c r="G146" s="5"/>
      <c r="H146" s="5" t="s">
        <v>75</v>
      </c>
      <c r="I146" s="6" t="s">
        <v>38</v>
      </c>
      <c r="J146" s="6"/>
      <c r="K146" s="6"/>
      <c r="L146" s="6"/>
    </row>
    <row r="147" customFormat="false" ht="15" hidden="false" customHeight="false" outlineLevel="0" collapsed="false">
      <c r="A147" s="5" t="s">
        <v>720</v>
      </c>
      <c r="B147" s="5" t="s">
        <v>531</v>
      </c>
      <c r="C147" s="5" t="s">
        <v>721</v>
      </c>
      <c r="D147" s="5" t="s">
        <v>722</v>
      </c>
      <c r="E147" s="5" t="s">
        <v>723</v>
      </c>
      <c r="F147" s="5" t="s">
        <v>675</v>
      </c>
      <c r="G147" s="5"/>
      <c r="H147" s="5" t="s">
        <v>37</v>
      </c>
      <c r="I147" s="6" t="s">
        <v>38</v>
      </c>
      <c r="J147" s="6"/>
      <c r="K147" s="6"/>
      <c r="L147" s="6"/>
    </row>
    <row r="148" customFormat="false" ht="15" hidden="false" customHeight="false" outlineLevel="0" collapsed="false">
      <c r="A148" s="5" t="s">
        <v>724</v>
      </c>
      <c r="B148" s="5" t="s">
        <v>531</v>
      </c>
      <c r="C148" s="5" t="s">
        <v>725</v>
      </c>
      <c r="D148" s="5" t="s">
        <v>726</v>
      </c>
      <c r="E148" s="5" t="s">
        <v>727</v>
      </c>
      <c r="F148" s="5" t="s">
        <v>675</v>
      </c>
      <c r="G148" s="5"/>
      <c r="H148" s="5" t="s">
        <v>37</v>
      </c>
      <c r="I148" s="6" t="s">
        <v>38</v>
      </c>
      <c r="J148" s="6"/>
      <c r="K148" s="6"/>
      <c r="L148" s="6"/>
    </row>
    <row r="149" customFormat="false" ht="26.85" hidden="false" customHeight="false" outlineLevel="0" collapsed="false">
      <c r="A149" s="5" t="s">
        <v>728</v>
      </c>
      <c r="B149" s="5" t="s">
        <v>531</v>
      </c>
      <c r="C149" s="5" t="s">
        <v>729</v>
      </c>
      <c r="D149" s="5" t="s">
        <v>730</v>
      </c>
      <c r="E149" s="5" t="s">
        <v>731</v>
      </c>
      <c r="F149" s="5" t="s">
        <v>675</v>
      </c>
      <c r="G149" s="5"/>
      <c r="H149" s="5" t="s">
        <v>37</v>
      </c>
      <c r="I149" s="6" t="s">
        <v>38</v>
      </c>
      <c r="J149" s="6"/>
      <c r="K149" s="6"/>
      <c r="L149" s="6"/>
    </row>
    <row r="150" customFormat="false" ht="15" hidden="false" customHeight="false" outlineLevel="0" collapsed="false">
      <c r="A150" s="5" t="s">
        <v>732</v>
      </c>
      <c r="B150" s="5" t="s">
        <v>531</v>
      </c>
      <c r="C150" s="5" t="s">
        <v>733</v>
      </c>
      <c r="D150" s="5" t="s">
        <v>734</v>
      </c>
      <c r="E150" s="5" t="s">
        <v>735</v>
      </c>
      <c r="F150" s="5" t="s">
        <v>675</v>
      </c>
      <c r="G150" s="5"/>
      <c r="H150" s="5" t="s">
        <v>37</v>
      </c>
      <c r="I150" s="6" t="s">
        <v>38</v>
      </c>
      <c r="J150" s="6"/>
      <c r="K150" s="6"/>
      <c r="L150" s="6"/>
    </row>
    <row r="151" customFormat="false" ht="15" hidden="false" customHeight="false" outlineLevel="0" collapsed="false">
      <c r="A151" s="5" t="s">
        <v>736</v>
      </c>
      <c r="B151" s="5" t="s">
        <v>531</v>
      </c>
      <c r="C151" s="5" t="s">
        <v>737</v>
      </c>
      <c r="D151" s="5" t="s">
        <v>738</v>
      </c>
      <c r="E151" s="5" t="s">
        <v>739</v>
      </c>
      <c r="F151" s="5" t="s">
        <v>675</v>
      </c>
      <c r="G151" s="5"/>
      <c r="H151" s="5" t="s">
        <v>75</v>
      </c>
      <c r="I151" s="6" t="s">
        <v>38</v>
      </c>
      <c r="J151" s="6"/>
      <c r="K151" s="6"/>
      <c r="L151" s="6"/>
    </row>
    <row r="152" customFormat="false" ht="26.85" hidden="false" customHeight="false" outlineLevel="0" collapsed="false">
      <c r="A152" s="5" t="s">
        <v>740</v>
      </c>
      <c r="B152" s="5" t="s">
        <v>741</v>
      </c>
      <c r="C152" s="5" t="s">
        <v>742</v>
      </c>
      <c r="D152" s="5" t="s">
        <v>743</v>
      </c>
      <c r="E152" s="5" t="s">
        <v>744</v>
      </c>
      <c r="F152" s="5" t="s">
        <v>745</v>
      </c>
      <c r="G152" s="5"/>
      <c r="H152" s="5" t="s">
        <v>37</v>
      </c>
      <c r="I152" s="6" t="s">
        <v>38</v>
      </c>
      <c r="J152" s="6"/>
      <c r="K152" s="6"/>
      <c r="L152" s="6"/>
    </row>
    <row r="153" customFormat="false" ht="15" hidden="false" customHeight="false" outlineLevel="0" collapsed="false">
      <c r="A153" s="5" t="s">
        <v>746</v>
      </c>
      <c r="B153" s="5" t="s">
        <v>741</v>
      </c>
      <c r="C153" s="5" t="s">
        <v>747</v>
      </c>
      <c r="D153" s="5" t="s">
        <v>748</v>
      </c>
      <c r="E153" s="5" t="s">
        <v>749</v>
      </c>
      <c r="F153" s="5" t="s">
        <v>750</v>
      </c>
      <c r="G153" s="5"/>
      <c r="H153" s="5" t="s">
        <v>37</v>
      </c>
      <c r="I153" s="6" t="s">
        <v>38</v>
      </c>
      <c r="J153" s="6"/>
      <c r="K153" s="6"/>
      <c r="L153" s="6"/>
    </row>
    <row r="154" customFormat="false" ht="15" hidden="false" customHeight="false" outlineLevel="0" collapsed="false">
      <c r="A154" s="5" t="s">
        <v>751</v>
      </c>
      <c r="B154" s="5" t="s">
        <v>741</v>
      </c>
      <c r="C154" s="5" t="s">
        <v>752</v>
      </c>
      <c r="D154" s="5" t="s">
        <v>753</v>
      </c>
      <c r="E154" s="5" t="s">
        <v>754</v>
      </c>
      <c r="F154" s="5" t="s">
        <v>755</v>
      </c>
      <c r="G154" s="5"/>
      <c r="H154" s="5" t="s">
        <v>37</v>
      </c>
      <c r="I154" s="6" t="s">
        <v>38</v>
      </c>
      <c r="J154" s="6"/>
      <c r="K154" s="6"/>
      <c r="L154" s="6"/>
    </row>
    <row r="155" customFormat="false" ht="26.85" hidden="false" customHeight="false" outlineLevel="0" collapsed="false">
      <c r="A155" s="5" t="s">
        <v>756</v>
      </c>
      <c r="B155" s="5" t="s">
        <v>741</v>
      </c>
      <c r="C155" s="5" t="s">
        <v>757</v>
      </c>
      <c r="D155" s="5" t="s">
        <v>758</v>
      </c>
      <c r="E155" s="5" t="s">
        <v>759</v>
      </c>
      <c r="F155" s="5" t="s">
        <v>760</v>
      </c>
      <c r="G155" s="5" t="s">
        <v>761</v>
      </c>
      <c r="H155" s="5" t="s">
        <v>37</v>
      </c>
      <c r="I155" s="6" t="s">
        <v>38</v>
      </c>
      <c r="J155" s="6"/>
      <c r="K155" s="6"/>
      <c r="L155" s="6"/>
    </row>
    <row r="156" customFormat="false" ht="15" hidden="false" customHeight="false" outlineLevel="0" collapsed="false">
      <c r="A156" s="5" t="s">
        <v>762</v>
      </c>
      <c r="B156" s="5" t="s">
        <v>741</v>
      </c>
      <c r="C156" s="5" t="s">
        <v>763</v>
      </c>
      <c r="D156" s="5" t="s">
        <v>764</v>
      </c>
      <c r="E156" s="5" t="s">
        <v>765</v>
      </c>
      <c r="F156" s="5" t="s">
        <v>766</v>
      </c>
      <c r="G156" s="5"/>
      <c r="H156" s="5" t="s">
        <v>37</v>
      </c>
      <c r="I156" s="6" t="s">
        <v>38</v>
      </c>
      <c r="J156" s="6"/>
      <c r="K156" s="6"/>
      <c r="L156" s="6"/>
    </row>
    <row r="157" customFormat="false" ht="26.85" hidden="false" customHeight="false" outlineLevel="0" collapsed="false">
      <c r="A157" s="5" t="s">
        <v>767</v>
      </c>
      <c r="B157" s="5" t="s">
        <v>741</v>
      </c>
      <c r="C157" s="5" t="s">
        <v>768</v>
      </c>
      <c r="D157" s="5" t="s">
        <v>769</v>
      </c>
      <c r="E157" s="5" t="s">
        <v>770</v>
      </c>
      <c r="F157" s="5" t="s">
        <v>755</v>
      </c>
      <c r="G157" s="5" t="s">
        <v>771</v>
      </c>
      <c r="H157" s="5" t="s">
        <v>75</v>
      </c>
      <c r="I157" s="6" t="s">
        <v>38</v>
      </c>
      <c r="J157" s="6"/>
      <c r="K157" s="6"/>
      <c r="L157" s="6"/>
    </row>
    <row r="158" customFormat="false" ht="15" hidden="false" customHeight="false" outlineLevel="0" collapsed="false">
      <c r="A158" s="5" t="s">
        <v>772</v>
      </c>
      <c r="B158" s="5" t="s">
        <v>741</v>
      </c>
      <c r="C158" s="5" t="s">
        <v>773</v>
      </c>
      <c r="D158" s="5" t="s">
        <v>774</v>
      </c>
      <c r="E158" s="5" t="s">
        <v>775</v>
      </c>
      <c r="F158" s="5" t="s">
        <v>776</v>
      </c>
      <c r="G158" s="5"/>
      <c r="H158" s="5" t="s">
        <v>37</v>
      </c>
      <c r="I158" s="6" t="s">
        <v>38</v>
      </c>
      <c r="J158" s="6"/>
      <c r="K158" s="6"/>
      <c r="L158" s="6"/>
    </row>
    <row r="159" customFormat="false" ht="15" hidden="false" customHeight="false" outlineLevel="0" collapsed="false">
      <c r="A159" s="5" t="s">
        <v>777</v>
      </c>
      <c r="B159" s="5" t="s">
        <v>741</v>
      </c>
      <c r="C159" s="5" t="s">
        <v>778</v>
      </c>
      <c r="D159" s="5" t="s">
        <v>779</v>
      </c>
      <c r="E159" s="5" t="s">
        <v>780</v>
      </c>
      <c r="F159" s="5" t="s">
        <v>750</v>
      </c>
      <c r="G159" s="5"/>
      <c r="H159" s="5" t="s">
        <v>37</v>
      </c>
      <c r="I159" s="6" t="s">
        <v>38</v>
      </c>
      <c r="J159" s="6"/>
      <c r="K159" s="6"/>
      <c r="L159" s="6"/>
    </row>
    <row r="160" customFormat="false" ht="15" hidden="false" customHeight="false" outlineLevel="0" collapsed="false">
      <c r="A160" s="5" t="s">
        <v>781</v>
      </c>
      <c r="B160" s="5" t="s">
        <v>741</v>
      </c>
      <c r="C160" s="5" t="s">
        <v>782</v>
      </c>
      <c r="D160" s="5" t="s">
        <v>783</v>
      </c>
      <c r="E160" s="5" t="s">
        <v>784</v>
      </c>
      <c r="F160" s="5" t="s">
        <v>785</v>
      </c>
      <c r="G160" s="5"/>
      <c r="H160" s="5" t="s">
        <v>37</v>
      </c>
      <c r="I160" s="6" t="s">
        <v>38</v>
      </c>
      <c r="J160" s="6"/>
      <c r="K160" s="6"/>
      <c r="L160" s="6"/>
    </row>
    <row r="161" customFormat="false" ht="15" hidden="false" customHeight="false" outlineLevel="0" collapsed="false">
      <c r="A161" s="5" t="s">
        <v>786</v>
      </c>
      <c r="B161" s="5" t="s">
        <v>741</v>
      </c>
      <c r="C161" s="5" t="s">
        <v>787</v>
      </c>
      <c r="D161" s="5" t="s">
        <v>788</v>
      </c>
      <c r="E161" s="5" t="s">
        <v>789</v>
      </c>
      <c r="F161" s="5" t="s">
        <v>755</v>
      </c>
      <c r="G161" s="5"/>
      <c r="H161" s="5" t="s">
        <v>37</v>
      </c>
      <c r="I161" s="6" t="s">
        <v>38</v>
      </c>
      <c r="J161" s="6"/>
      <c r="K161" s="6"/>
      <c r="L161" s="6"/>
    </row>
    <row r="162" customFormat="false" ht="26.85" hidden="false" customHeight="false" outlineLevel="0" collapsed="false">
      <c r="A162" s="5" t="s">
        <v>790</v>
      </c>
      <c r="B162" s="5" t="s">
        <v>741</v>
      </c>
      <c r="C162" s="5" t="s">
        <v>791</v>
      </c>
      <c r="D162" s="5" t="s">
        <v>792</v>
      </c>
      <c r="E162" s="5" t="s">
        <v>793</v>
      </c>
      <c r="F162" s="5" t="s">
        <v>794</v>
      </c>
      <c r="G162" s="5"/>
      <c r="H162" s="5" t="s">
        <v>75</v>
      </c>
      <c r="I162" s="6" t="s">
        <v>38</v>
      </c>
      <c r="J162" s="6"/>
      <c r="K162" s="6"/>
      <c r="L162" s="6"/>
    </row>
    <row r="163" customFormat="false" ht="15" hidden="false" customHeight="false" outlineLevel="0" collapsed="false">
      <c r="A163" s="5" t="s">
        <v>795</v>
      </c>
      <c r="B163" s="5" t="s">
        <v>741</v>
      </c>
      <c r="C163" s="5" t="s">
        <v>796</v>
      </c>
      <c r="D163" s="5" t="s">
        <v>797</v>
      </c>
      <c r="E163" s="5" t="s">
        <v>798</v>
      </c>
      <c r="F163" s="5" t="s">
        <v>799</v>
      </c>
      <c r="G163" s="5"/>
      <c r="H163" s="5" t="s">
        <v>37</v>
      </c>
      <c r="I163" s="6" t="s">
        <v>38</v>
      </c>
      <c r="J163" s="6"/>
      <c r="K163" s="6"/>
      <c r="L163" s="6"/>
    </row>
    <row r="164" customFormat="false" ht="15" hidden="false" customHeight="false" outlineLevel="0" collapsed="false">
      <c r="A164" s="5" t="s">
        <v>800</v>
      </c>
      <c r="B164" s="5" t="s">
        <v>741</v>
      </c>
      <c r="C164" s="5" t="s">
        <v>801</v>
      </c>
      <c r="D164" s="5" t="s">
        <v>802</v>
      </c>
      <c r="E164" s="5" t="s">
        <v>803</v>
      </c>
      <c r="F164" s="5" t="s">
        <v>750</v>
      </c>
      <c r="G164" s="5"/>
      <c r="H164" s="5" t="s">
        <v>37</v>
      </c>
      <c r="I164" s="6" t="s">
        <v>38</v>
      </c>
      <c r="J164" s="6"/>
      <c r="K164" s="6"/>
      <c r="L164" s="6"/>
    </row>
    <row r="165" customFormat="false" ht="15" hidden="false" customHeight="false" outlineLevel="0" collapsed="false">
      <c r="A165" s="5" t="s">
        <v>804</v>
      </c>
      <c r="B165" s="5" t="s">
        <v>741</v>
      </c>
      <c r="C165" s="5" t="s">
        <v>805</v>
      </c>
      <c r="D165" s="5" t="s">
        <v>806</v>
      </c>
      <c r="E165" s="5" t="s">
        <v>807</v>
      </c>
      <c r="F165" s="5" t="s">
        <v>776</v>
      </c>
      <c r="G165" s="5"/>
      <c r="H165" s="5" t="s">
        <v>37</v>
      </c>
      <c r="I165" s="6" t="s">
        <v>38</v>
      </c>
      <c r="J165" s="6"/>
      <c r="K165" s="6"/>
      <c r="L165" s="6"/>
    </row>
    <row r="166" customFormat="false" ht="15" hidden="false" customHeight="false" outlineLevel="0" collapsed="false">
      <c r="A166" s="5" t="s">
        <v>808</v>
      </c>
      <c r="B166" s="5" t="s">
        <v>741</v>
      </c>
      <c r="C166" s="5" t="s">
        <v>809</v>
      </c>
      <c r="D166" s="5" t="s">
        <v>810</v>
      </c>
      <c r="E166" s="5" t="s">
        <v>811</v>
      </c>
      <c r="F166" s="5" t="s">
        <v>755</v>
      </c>
      <c r="G166" s="5"/>
      <c r="H166" s="5" t="s">
        <v>37</v>
      </c>
      <c r="I166" s="6" t="s">
        <v>38</v>
      </c>
      <c r="J166" s="6"/>
      <c r="K166" s="6"/>
      <c r="L166" s="6"/>
    </row>
    <row r="167" customFormat="false" ht="26.85" hidden="false" customHeight="false" outlineLevel="0" collapsed="false">
      <c r="A167" s="5" t="s">
        <v>812</v>
      </c>
      <c r="B167" s="5" t="s">
        <v>741</v>
      </c>
      <c r="C167" s="5" t="s">
        <v>813</v>
      </c>
      <c r="D167" s="5" t="s">
        <v>814</v>
      </c>
      <c r="E167" s="5" t="s">
        <v>815</v>
      </c>
      <c r="F167" s="5" t="s">
        <v>816</v>
      </c>
      <c r="G167" s="5" t="s">
        <v>817</v>
      </c>
      <c r="H167" s="5" t="s">
        <v>37</v>
      </c>
      <c r="I167" s="6" t="s">
        <v>38</v>
      </c>
      <c r="J167" s="6"/>
      <c r="K167" s="6"/>
      <c r="L167" s="6"/>
    </row>
    <row r="168" customFormat="false" ht="15" hidden="false" customHeight="false" outlineLevel="0" collapsed="false">
      <c r="A168" s="5" t="s">
        <v>818</v>
      </c>
      <c r="B168" s="5" t="s">
        <v>741</v>
      </c>
      <c r="C168" s="5" t="s">
        <v>819</v>
      </c>
      <c r="D168" s="5" t="s">
        <v>820</v>
      </c>
      <c r="E168" s="5" t="s">
        <v>821</v>
      </c>
      <c r="F168" s="5" t="s">
        <v>776</v>
      </c>
      <c r="G168" s="5" t="s">
        <v>822</v>
      </c>
      <c r="H168" s="5" t="s">
        <v>37</v>
      </c>
      <c r="I168" s="6" t="s">
        <v>38</v>
      </c>
      <c r="J168" s="6"/>
      <c r="K168" s="6"/>
      <c r="L168" s="6"/>
    </row>
    <row r="169" customFormat="false" ht="26.85" hidden="false" customHeight="false" outlineLevel="0" collapsed="false">
      <c r="A169" s="5" t="s">
        <v>823</v>
      </c>
      <c r="B169" s="5" t="s">
        <v>741</v>
      </c>
      <c r="C169" s="5" t="s">
        <v>824</v>
      </c>
      <c r="D169" s="5" t="s">
        <v>825</v>
      </c>
      <c r="E169" s="5" t="s">
        <v>826</v>
      </c>
      <c r="F169" s="5" t="s">
        <v>750</v>
      </c>
      <c r="G169" s="5" t="s">
        <v>827</v>
      </c>
      <c r="H169" s="5" t="s">
        <v>75</v>
      </c>
      <c r="I169" s="6" t="s">
        <v>38</v>
      </c>
      <c r="J169" s="6"/>
      <c r="K169" s="6"/>
      <c r="L169" s="6"/>
    </row>
    <row r="170" customFormat="false" ht="15" hidden="false" customHeight="false" outlineLevel="0" collapsed="false">
      <c r="A170" s="5" t="s">
        <v>828</v>
      </c>
      <c r="B170" s="5" t="s">
        <v>741</v>
      </c>
      <c r="C170" s="5" t="s">
        <v>829</v>
      </c>
      <c r="D170" s="5" t="s">
        <v>830</v>
      </c>
      <c r="E170" s="5" t="s">
        <v>831</v>
      </c>
      <c r="F170" s="5" t="s">
        <v>766</v>
      </c>
      <c r="G170" s="5" t="s">
        <v>832</v>
      </c>
      <c r="H170" s="5" t="s">
        <v>37</v>
      </c>
      <c r="I170" s="6" t="s">
        <v>38</v>
      </c>
      <c r="J170" s="6"/>
      <c r="K170" s="6"/>
      <c r="L170" s="6"/>
    </row>
    <row r="171" customFormat="false" ht="26.85" hidden="false" customHeight="false" outlineLevel="0" collapsed="false">
      <c r="A171" s="5" t="s">
        <v>833</v>
      </c>
      <c r="B171" s="5" t="s">
        <v>741</v>
      </c>
      <c r="C171" s="5" t="s">
        <v>834</v>
      </c>
      <c r="D171" s="5" t="s">
        <v>835</v>
      </c>
      <c r="E171" s="5" t="s">
        <v>836</v>
      </c>
      <c r="F171" s="5" t="s">
        <v>837</v>
      </c>
      <c r="G171" s="5" t="s">
        <v>838</v>
      </c>
      <c r="H171" s="5" t="s">
        <v>37</v>
      </c>
      <c r="I171" s="6" t="s">
        <v>38</v>
      </c>
      <c r="J171" s="6"/>
      <c r="K171" s="6"/>
      <c r="L171" s="6"/>
    </row>
    <row r="172" customFormat="false" ht="15" hidden="false" customHeight="false" outlineLevel="0" collapsed="false">
      <c r="A172" s="5" t="s">
        <v>839</v>
      </c>
      <c r="B172" s="5" t="s">
        <v>741</v>
      </c>
      <c r="C172" s="5" t="s">
        <v>840</v>
      </c>
      <c r="D172" s="5" t="s">
        <v>841</v>
      </c>
      <c r="E172" s="5" t="s">
        <v>842</v>
      </c>
      <c r="F172" s="5" t="s">
        <v>843</v>
      </c>
      <c r="G172" s="5" t="s">
        <v>844</v>
      </c>
      <c r="H172" s="5" t="s">
        <v>37</v>
      </c>
      <c r="I172" s="6" t="s">
        <v>38</v>
      </c>
      <c r="J172" s="6"/>
      <c r="K172" s="6"/>
      <c r="L172" s="6"/>
    </row>
    <row r="173" customFormat="false" ht="15" hidden="false" customHeight="false" outlineLevel="0" collapsed="false">
      <c r="A173" s="5" t="s">
        <v>845</v>
      </c>
      <c r="B173" s="5" t="s">
        <v>741</v>
      </c>
      <c r="C173" s="5" t="s">
        <v>846</v>
      </c>
      <c r="D173" s="5" t="s">
        <v>847</v>
      </c>
      <c r="E173" s="5" t="s">
        <v>848</v>
      </c>
      <c r="F173" s="5" t="s">
        <v>849</v>
      </c>
      <c r="G173" s="5" t="s">
        <v>850</v>
      </c>
      <c r="H173" s="5" t="s">
        <v>37</v>
      </c>
      <c r="I173" s="6" t="s">
        <v>38</v>
      </c>
      <c r="J173" s="6"/>
      <c r="K173" s="6"/>
      <c r="L173" s="6"/>
    </row>
    <row r="174" customFormat="false" ht="15" hidden="false" customHeight="false" outlineLevel="0" collapsed="false">
      <c r="A174" s="5" t="s">
        <v>851</v>
      </c>
      <c r="B174" s="5" t="s">
        <v>741</v>
      </c>
      <c r="C174" s="5" t="s">
        <v>852</v>
      </c>
      <c r="D174" s="5" t="s">
        <v>853</v>
      </c>
      <c r="E174" s="5" t="s">
        <v>854</v>
      </c>
      <c r="F174" s="5" t="s">
        <v>760</v>
      </c>
      <c r="G174" s="5" t="s">
        <v>855</v>
      </c>
      <c r="H174" s="5" t="s">
        <v>37</v>
      </c>
      <c r="I174" s="6" t="s">
        <v>38</v>
      </c>
      <c r="J174" s="6"/>
      <c r="K174" s="6"/>
      <c r="L174" s="6"/>
    </row>
    <row r="175" customFormat="false" ht="15" hidden="false" customHeight="false" outlineLevel="0" collapsed="false">
      <c r="A175" s="5" t="s">
        <v>856</v>
      </c>
      <c r="B175" s="5" t="s">
        <v>741</v>
      </c>
      <c r="C175" s="5" t="s">
        <v>857</v>
      </c>
      <c r="D175" s="5" t="s">
        <v>858</v>
      </c>
      <c r="E175" s="5" t="s">
        <v>859</v>
      </c>
      <c r="F175" s="5" t="s">
        <v>776</v>
      </c>
      <c r="G175" s="5" t="s">
        <v>860</v>
      </c>
      <c r="H175" s="5" t="s">
        <v>37</v>
      </c>
      <c r="I175" s="6" t="s">
        <v>38</v>
      </c>
      <c r="J175" s="6"/>
      <c r="K175" s="6"/>
      <c r="L175" s="6"/>
    </row>
    <row r="176" customFormat="false" ht="15" hidden="false" customHeight="false" outlineLevel="0" collapsed="false">
      <c r="A176" s="5" t="s">
        <v>861</v>
      </c>
      <c r="B176" s="5" t="s">
        <v>741</v>
      </c>
      <c r="C176" s="5" t="s">
        <v>862</v>
      </c>
      <c r="D176" s="5" t="s">
        <v>863</v>
      </c>
      <c r="E176" s="5" t="s">
        <v>864</v>
      </c>
      <c r="F176" s="5" t="s">
        <v>865</v>
      </c>
      <c r="G176" s="5" t="s">
        <v>866</v>
      </c>
      <c r="H176" s="5" t="s">
        <v>37</v>
      </c>
      <c r="I176" s="6" t="s">
        <v>38</v>
      </c>
      <c r="J176" s="6"/>
      <c r="K176" s="6"/>
      <c r="L176" s="6"/>
    </row>
    <row r="177" customFormat="false" ht="15" hidden="false" customHeight="false" outlineLevel="0" collapsed="false">
      <c r="A177" s="5" t="s">
        <v>867</v>
      </c>
      <c r="B177" s="5" t="s">
        <v>741</v>
      </c>
      <c r="C177" s="5" t="s">
        <v>868</v>
      </c>
      <c r="D177" s="5" t="s">
        <v>869</v>
      </c>
      <c r="E177" s="5" t="s">
        <v>870</v>
      </c>
      <c r="F177" s="5" t="s">
        <v>760</v>
      </c>
      <c r="G177" s="5" t="s">
        <v>871</v>
      </c>
      <c r="H177" s="5" t="s">
        <v>37</v>
      </c>
      <c r="I177" s="6" t="s">
        <v>38</v>
      </c>
      <c r="J177" s="6"/>
      <c r="K177" s="6"/>
      <c r="L177" s="6"/>
    </row>
    <row r="178" customFormat="false" ht="15" hidden="false" customHeight="false" outlineLevel="0" collapsed="false">
      <c r="A178" s="5" t="s">
        <v>872</v>
      </c>
      <c r="B178" s="5" t="s">
        <v>741</v>
      </c>
      <c r="C178" s="5" t="s">
        <v>873</v>
      </c>
      <c r="D178" s="5" t="s">
        <v>874</v>
      </c>
      <c r="E178" s="5" t="s">
        <v>875</v>
      </c>
      <c r="F178" s="5" t="s">
        <v>776</v>
      </c>
      <c r="G178" s="5" t="s">
        <v>876</v>
      </c>
      <c r="H178" s="5" t="s">
        <v>37</v>
      </c>
      <c r="I178" s="6" t="s">
        <v>38</v>
      </c>
      <c r="J178" s="6"/>
      <c r="K178" s="6"/>
      <c r="L178" s="6"/>
    </row>
    <row r="179" customFormat="false" ht="15" hidden="false" customHeight="false" outlineLevel="0" collapsed="false">
      <c r="A179" s="5" t="s">
        <v>877</v>
      </c>
      <c r="B179" s="5" t="s">
        <v>741</v>
      </c>
      <c r="C179" s="5" t="s">
        <v>878</v>
      </c>
      <c r="D179" s="5" t="s">
        <v>879</v>
      </c>
      <c r="E179" s="5" t="s">
        <v>880</v>
      </c>
      <c r="F179" s="5" t="s">
        <v>750</v>
      </c>
      <c r="G179" s="5" t="s">
        <v>881</v>
      </c>
      <c r="H179" s="5" t="s">
        <v>37</v>
      </c>
      <c r="I179" s="6" t="s">
        <v>38</v>
      </c>
      <c r="J179" s="6"/>
      <c r="K179" s="6"/>
      <c r="L179" s="6"/>
    </row>
    <row r="180" customFormat="false" ht="15" hidden="false" customHeight="false" outlineLevel="0" collapsed="false">
      <c r="A180" s="5" t="s">
        <v>882</v>
      </c>
      <c r="B180" s="5" t="s">
        <v>741</v>
      </c>
      <c r="C180" s="5" t="s">
        <v>883</v>
      </c>
      <c r="D180" s="5" t="s">
        <v>884</v>
      </c>
      <c r="E180" s="5" t="s">
        <v>885</v>
      </c>
      <c r="F180" s="5" t="s">
        <v>766</v>
      </c>
      <c r="G180" s="5" t="s">
        <v>886</v>
      </c>
      <c r="H180" s="5" t="s">
        <v>37</v>
      </c>
      <c r="I180" s="6" t="s">
        <v>38</v>
      </c>
      <c r="J180" s="6"/>
      <c r="K180" s="6"/>
      <c r="L180" s="6"/>
    </row>
    <row r="181" customFormat="false" ht="26.85" hidden="false" customHeight="false" outlineLevel="0" collapsed="false">
      <c r="A181" s="5" t="s">
        <v>887</v>
      </c>
      <c r="B181" s="5" t="s">
        <v>741</v>
      </c>
      <c r="C181" s="5" t="s">
        <v>888</v>
      </c>
      <c r="D181" s="5" t="s">
        <v>889</v>
      </c>
      <c r="E181" s="5" t="s">
        <v>890</v>
      </c>
      <c r="F181" s="5" t="s">
        <v>776</v>
      </c>
      <c r="G181" s="5" t="s">
        <v>891</v>
      </c>
      <c r="H181" s="5" t="s">
        <v>37</v>
      </c>
      <c r="I181" s="6" t="s">
        <v>38</v>
      </c>
      <c r="J181" s="6"/>
      <c r="K181" s="6"/>
      <c r="L181" s="6"/>
    </row>
    <row r="182" customFormat="false" ht="15" hidden="false" customHeight="false" outlineLevel="0" collapsed="false">
      <c r="A182" s="5" t="s">
        <v>892</v>
      </c>
      <c r="B182" s="5" t="s">
        <v>741</v>
      </c>
      <c r="C182" s="5" t="s">
        <v>893</v>
      </c>
      <c r="D182" s="5" t="s">
        <v>894</v>
      </c>
      <c r="E182" s="5" t="s">
        <v>895</v>
      </c>
      <c r="F182" s="5" t="s">
        <v>760</v>
      </c>
      <c r="G182" s="5"/>
      <c r="H182" s="5" t="s">
        <v>37</v>
      </c>
      <c r="I182" s="6" t="s">
        <v>38</v>
      </c>
      <c r="J182" s="6"/>
      <c r="K182" s="6"/>
      <c r="L182" s="6"/>
    </row>
    <row r="183" customFormat="false" ht="15" hidden="false" customHeight="false" outlineLevel="0" collapsed="false">
      <c r="A183" s="5" t="s">
        <v>896</v>
      </c>
      <c r="B183" s="5" t="s">
        <v>741</v>
      </c>
      <c r="C183" s="5" t="s">
        <v>897</v>
      </c>
      <c r="D183" s="5" t="s">
        <v>898</v>
      </c>
      <c r="E183" s="5" t="s">
        <v>899</v>
      </c>
      <c r="F183" s="5" t="s">
        <v>750</v>
      </c>
      <c r="G183" s="5"/>
      <c r="H183" s="5" t="s">
        <v>37</v>
      </c>
      <c r="I183" s="6" t="s">
        <v>38</v>
      </c>
      <c r="J183" s="6"/>
      <c r="K183" s="6"/>
      <c r="L183" s="6"/>
    </row>
    <row r="184" customFormat="false" ht="26.85" hidden="false" customHeight="false" outlineLevel="0" collapsed="false">
      <c r="A184" s="5" t="s">
        <v>900</v>
      </c>
      <c r="B184" s="5" t="s">
        <v>741</v>
      </c>
      <c r="C184" s="5" t="s">
        <v>901</v>
      </c>
      <c r="D184" s="5" t="s">
        <v>902</v>
      </c>
      <c r="E184" s="5" t="s">
        <v>903</v>
      </c>
      <c r="F184" s="5" t="s">
        <v>776</v>
      </c>
      <c r="G184" s="5"/>
      <c r="H184" s="5" t="s">
        <v>37</v>
      </c>
      <c r="I184" s="6" t="s">
        <v>38</v>
      </c>
      <c r="J184" s="6"/>
      <c r="K184" s="6"/>
      <c r="L184" s="6"/>
    </row>
    <row r="185" customFormat="false" ht="15" hidden="false" customHeight="false" outlineLevel="0" collapsed="false">
      <c r="A185" s="5" t="s">
        <v>904</v>
      </c>
      <c r="B185" s="5" t="s">
        <v>741</v>
      </c>
      <c r="C185" s="5" t="s">
        <v>905</v>
      </c>
      <c r="D185" s="5" t="s">
        <v>906</v>
      </c>
      <c r="E185" s="5" t="s">
        <v>907</v>
      </c>
      <c r="F185" s="5" t="s">
        <v>908</v>
      </c>
      <c r="G185" s="5"/>
      <c r="H185" s="5" t="s">
        <v>37</v>
      </c>
      <c r="I185" s="6" t="s">
        <v>38</v>
      </c>
      <c r="J185" s="6"/>
      <c r="K185" s="6"/>
      <c r="L185" s="6"/>
    </row>
    <row r="186" customFormat="false" ht="15" hidden="false" customHeight="false" outlineLevel="0" collapsed="false">
      <c r="A186" s="5" t="s">
        <v>909</v>
      </c>
      <c r="B186" s="5" t="s">
        <v>741</v>
      </c>
      <c r="C186" s="5" t="s">
        <v>910</v>
      </c>
      <c r="D186" s="5" t="s">
        <v>911</v>
      </c>
      <c r="E186" s="5" t="s">
        <v>912</v>
      </c>
      <c r="F186" s="5" t="s">
        <v>766</v>
      </c>
      <c r="G186" s="5"/>
      <c r="H186" s="5" t="s">
        <v>37</v>
      </c>
      <c r="I186" s="6" t="s">
        <v>38</v>
      </c>
      <c r="J186" s="6"/>
      <c r="K186" s="6"/>
      <c r="L186" s="6"/>
    </row>
    <row r="187" customFormat="false" ht="26.85" hidden="false" customHeight="false" outlineLevel="0" collapsed="false">
      <c r="A187" s="5" t="s">
        <v>913</v>
      </c>
      <c r="B187" s="5" t="s">
        <v>741</v>
      </c>
      <c r="C187" s="5" t="s">
        <v>914</v>
      </c>
      <c r="D187" s="5" t="s">
        <v>915</v>
      </c>
      <c r="E187" s="5" t="s">
        <v>916</v>
      </c>
      <c r="F187" s="5" t="s">
        <v>917</v>
      </c>
      <c r="G187" s="5" t="s">
        <v>918</v>
      </c>
      <c r="H187" s="5" t="s">
        <v>37</v>
      </c>
      <c r="I187" s="6" t="s">
        <v>38</v>
      </c>
      <c r="J187" s="6"/>
      <c r="K187" s="6"/>
      <c r="L187" s="6"/>
    </row>
    <row r="188" customFormat="false" ht="15" hidden="false" customHeight="false" outlineLevel="0" collapsed="false">
      <c r="A188" s="5" t="s">
        <v>919</v>
      </c>
      <c r="B188" s="5" t="s">
        <v>741</v>
      </c>
      <c r="C188" s="5" t="s">
        <v>920</v>
      </c>
      <c r="D188" s="5" t="s">
        <v>921</v>
      </c>
      <c r="E188" s="5" t="s">
        <v>922</v>
      </c>
      <c r="F188" s="5" t="s">
        <v>923</v>
      </c>
      <c r="G188" s="5"/>
      <c r="H188" s="5" t="s">
        <v>37</v>
      </c>
      <c r="I188" s="6" t="s">
        <v>38</v>
      </c>
      <c r="J188" s="6"/>
      <c r="K188" s="6"/>
      <c r="L188" s="6"/>
    </row>
    <row r="189" customFormat="false" ht="15" hidden="false" customHeight="false" outlineLevel="0" collapsed="false">
      <c r="A189" s="5" t="s">
        <v>924</v>
      </c>
      <c r="B189" s="5" t="s">
        <v>741</v>
      </c>
      <c r="C189" s="5" t="s">
        <v>925</v>
      </c>
      <c r="D189" s="5" t="s">
        <v>926</v>
      </c>
      <c r="E189" s="5" t="s">
        <v>927</v>
      </c>
      <c r="F189" s="5" t="s">
        <v>928</v>
      </c>
      <c r="G189" s="5"/>
      <c r="H189" s="5" t="s">
        <v>37</v>
      </c>
      <c r="I189" s="6" t="s">
        <v>38</v>
      </c>
      <c r="J189" s="6"/>
      <c r="K189" s="6"/>
      <c r="L189" s="6"/>
    </row>
    <row r="190" customFormat="false" ht="15" hidden="false" customHeight="false" outlineLevel="0" collapsed="false">
      <c r="A190" s="5" t="s">
        <v>929</v>
      </c>
      <c r="B190" s="5" t="s">
        <v>741</v>
      </c>
      <c r="C190" s="5" t="s">
        <v>930</v>
      </c>
      <c r="D190" s="5" t="s">
        <v>931</v>
      </c>
      <c r="E190" s="5" t="s">
        <v>932</v>
      </c>
      <c r="F190" s="5" t="s">
        <v>933</v>
      </c>
      <c r="G190" s="5"/>
      <c r="H190" s="5" t="s">
        <v>37</v>
      </c>
      <c r="I190" s="6" t="s">
        <v>38</v>
      </c>
      <c r="J190" s="6"/>
      <c r="K190" s="6"/>
      <c r="L190" s="6"/>
    </row>
    <row r="191" customFormat="false" ht="15" hidden="false" customHeight="false" outlineLevel="0" collapsed="false">
      <c r="A191" s="5" t="s">
        <v>934</v>
      </c>
      <c r="B191" s="5" t="s">
        <v>741</v>
      </c>
      <c r="C191" s="5" t="s">
        <v>935</v>
      </c>
      <c r="D191" s="5" t="s">
        <v>936</v>
      </c>
      <c r="E191" s="5" t="s">
        <v>937</v>
      </c>
      <c r="F191" s="5" t="s">
        <v>938</v>
      </c>
      <c r="G191" s="5"/>
      <c r="H191" s="5" t="s">
        <v>37</v>
      </c>
      <c r="I191" s="6" t="s">
        <v>38</v>
      </c>
      <c r="J191" s="6"/>
      <c r="K191" s="6"/>
      <c r="L191" s="6"/>
    </row>
    <row r="192" customFormat="false" ht="15" hidden="false" customHeight="false" outlineLevel="0" collapsed="false">
      <c r="A192" s="5" t="s">
        <v>939</v>
      </c>
      <c r="B192" s="5" t="s">
        <v>741</v>
      </c>
      <c r="C192" s="5" t="s">
        <v>940</v>
      </c>
      <c r="D192" s="5" t="s">
        <v>941</v>
      </c>
      <c r="E192" s="5" t="s">
        <v>942</v>
      </c>
      <c r="F192" s="5" t="s">
        <v>943</v>
      </c>
      <c r="G192" s="5"/>
      <c r="H192" s="5" t="s">
        <v>37</v>
      </c>
      <c r="I192" s="6" t="s">
        <v>38</v>
      </c>
      <c r="J192" s="6"/>
      <c r="K192" s="6"/>
      <c r="L192" s="6"/>
    </row>
    <row r="193" customFormat="false" ht="15" hidden="false" customHeight="false" outlineLevel="0" collapsed="false">
      <c r="A193" s="5" t="s">
        <v>944</v>
      </c>
      <c r="B193" s="5" t="s">
        <v>741</v>
      </c>
      <c r="C193" s="5" t="s">
        <v>945</v>
      </c>
      <c r="D193" s="5" t="s">
        <v>946</v>
      </c>
      <c r="E193" s="5" t="s">
        <v>947</v>
      </c>
      <c r="F193" s="5" t="s">
        <v>948</v>
      </c>
      <c r="G193" s="5"/>
      <c r="H193" s="5" t="s">
        <v>75</v>
      </c>
      <c r="I193" s="6" t="s">
        <v>38</v>
      </c>
      <c r="J193" s="6"/>
      <c r="K193" s="6"/>
      <c r="L193" s="6"/>
    </row>
    <row r="194" customFormat="false" ht="15" hidden="false" customHeight="false" outlineLevel="0" collapsed="false">
      <c r="A194" s="5" t="s">
        <v>949</v>
      </c>
      <c r="B194" s="5" t="s">
        <v>741</v>
      </c>
      <c r="C194" s="5" t="s">
        <v>950</v>
      </c>
      <c r="D194" s="5" t="s">
        <v>951</v>
      </c>
      <c r="E194" s="5" t="s">
        <v>952</v>
      </c>
      <c r="F194" s="5" t="s">
        <v>953</v>
      </c>
      <c r="G194" s="5"/>
      <c r="H194" s="5" t="s">
        <v>37</v>
      </c>
      <c r="I194" s="6" t="s">
        <v>38</v>
      </c>
      <c r="J194" s="6"/>
      <c r="K194" s="6"/>
      <c r="L194" s="6"/>
    </row>
    <row r="195" customFormat="false" ht="15" hidden="false" customHeight="false" outlineLevel="0" collapsed="false">
      <c r="A195" s="5" t="s">
        <v>954</v>
      </c>
      <c r="B195" s="5" t="s">
        <v>741</v>
      </c>
      <c r="C195" s="5" t="s">
        <v>955</v>
      </c>
      <c r="D195" s="5" t="s">
        <v>956</v>
      </c>
      <c r="E195" s="5" t="s">
        <v>957</v>
      </c>
      <c r="F195" s="5" t="s">
        <v>958</v>
      </c>
      <c r="G195" s="5"/>
      <c r="H195" s="5" t="s">
        <v>37</v>
      </c>
      <c r="I195" s="6" t="s">
        <v>38</v>
      </c>
      <c r="J195" s="6"/>
      <c r="K195" s="6"/>
      <c r="L195" s="6"/>
    </row>
    <row r="196" customFormat="false" ht="15" hidden="false" customHeight="false" outlineLevel="0" collapsed="false">
      <c r="A196" s="5" t="s">
        <v>959</v>
      </c>
      <c r="B196" s="5" t="s">
        <v>741</v>
      </c>
      <c r="C196" s="5" t="s">
        <v>960</v>
      </c>
      <c r="D196" s="5" t="s">
        <v>961</v>
      </c>
      <c r="E196" s="5" t="s">
        <v>962</v>
      </c>
      <c r="F196" s="5" t="s">
        <v>963</v>
      </c>
      <c r="G196" s="5"/>
      <c r="H196" s="5" t="s">
        <v>75</v>
      </c>
      <c r="I196" s="6" t="s">
        <v>38</v>
      </c>
      <c r="J196" s="6"/>
      <c r="K196" s="6"/>
      <c r="L196" s="6"/>
    </row>
    <row r="197" customFormat="false" ht="15" hidden="false" customHeight="false" outlineLevel="0" collapsed="false">
      <c r="A197" s="5" t="s">
        <v>964</v>
      </c>
      <c r="B197" s="5" t="s">
        <v>741</v>
      </c>
      <c r="C197" s="5" t="s">
        <v>965</v>
      </c>
      <c r="D197" s="5" t="s">
        <v>966</v>
      </c>
      <c r="E197" s="5" t="s">
        <v>967</v>
      </c>
      <c r="F197" s="5" t="s">
        <v>968</v>
      </c>
      <c r="G197" s="5"/>
      <c r="H197" s="5" t="s">
        <v>37</v>
      </c>
      <c r="I197" s="6" t="s">
        <v>38</v>
      </c>
      <c r="J197" s="6"/>
      <c r="K197" s="6"/>
      <c r="L197" s="6"/>
    </row>
    <row r="198" customFormat="false" ht="26.85" hidden="false" customHeight="false" outlineLevel="0" collapsed="false">
      <c r="A198" s="5" t="s">
        <v>969</v>
      </c>
      <c r="B198" s="5" t="s">
        <v>741</v>
      </c>
      <c r="C198" s="5" t="s">
        <v>970</v>
      </c>
      <c r="D198" s="5" t="s">
        <v>971</v>
      </c>
      <c r="E198" s="5" t="s">
        <v>972</v>
      </c>
      <c r="F198" s="5" t="s">
        <v>973</v>
      </c>
      <c r="G198" s="5" t="s">
        <v>974</v>
      </c>
      <c r="H198" s="5" t="s">
        <v>75</v>
      </c>
      <c r="I198" s="6" t="s">
        <v>38</v>
      </c>
      <c r="J198" s="6"/>
      <c r="K198" s="6"/>
      <c r="L198" s="6"/>
    </row>
    <row r="199" customFormat="false" ht="26.85" hidden="false" customHeight="false" outlineLevel="0" collapsed="false">
      <c r="A199" s="5" t="s">
        <v>975</v>
      </c>
      <c r="B199" s="5" t="s">
        <v>741</v>
      </c>
      <c r="C199" s="5" t="s">
        <v>976</v>
      </c>
      <c r="D199" s="5" t="s">
        <v>977</v>
      </c>
      <c r="E199" s="5" t="s">
        <v>978</v>
      </c>
      <c r="F199" s="5" t="s">
        <v>923</v>
      </c>
      <c r="G199" s="5"/>
      <c r="H199" s="5" t="s">
        <v>37</v>
      </c>
      <c r="I199" s="6" t="s">
        <v>38</v>
      </c>
      <c r="J199" s="6"/>
      <c r="K199" s="6"/>
      <c r="L199" s="6"/>
    </row>
    <row r="200" customFormat="false" ht="15" hidden="false" customHeight="false" outlineLevel="0" collapsed="false">
      <c r="A200" s="5" t="s">
        <v>979</v>
      </c>
      <c r="B200" s="5" t="s">
        <v>741</v>
      </c>
      <c r="C200" s="5" t="s">
        <v>980</v>
      </c>
      <c r="D200" s="5" t="s">
        <v>981</v>
      </c>
      <c r="E200" s="5" t="s">
        <v>982</v>
      </c>
      <c r="F200" s="5" t="s">
        <v>983</v>
      </c>
      <c r="G200" s="5"/>
      <c r="H200" s="5" t="s">
        <v>75</v>
      </c>
      <c r="I200" s="6" t="s">
        <v>38</v>
      </c>
      <c r="J200" s="6"/>
      <c r="K200" s="6"/>
      <c r="L200" s="6"/>
    </row>
    <row r="201" customFormat="false" ht="15" hidden="false" customHeight="false" outlineLevel="0" collapsed="false">
      <c r="A201" s="5" t="s">
        <v>984</v>
      </c>
      <c r="B201" s="5" t="s">
        <v>741</v>
      </c>
      <c r="C201" s="5" t="s">
        <v>985</v>
      </c>
      <c r="D201" s="5" t="s">
        <v>986</v>
      </c>
      <c r="E201" s="5" t="s">
        <v>987</v>
      </c>
      <c r="F201" s="5" t="s">
        <v>988</v>
      </c>
      <c r="G201" s="5"/>
      <c r="H201" s="5" t="s">
        <v>37</v>
      </c>
      <c r="I201" s="6" t="s">
        <v>38</v>
      </c>
      <c r="J201" s="6"/>
      <c r="K201" s="6"/>
      <c r="L201" s="6"/>
    </row>
  </sheetData>
  <autoFilter ref="A1:L201"/>
  <dataValidations count="1">
    <dataValidation allowBlank="false" error="Use TODO, OK, FIXED or DROP." errorStyle="stop" operator="between" prompt="OK = correct as written. FIXED = you wrote a correction. DROP = do not use." showDropDown="false" showErrorMessage="false" showInputMessage="false" sqref="I2:I201" type="list">
      <formula1>"TODO,OK,FIXED,DROP"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3" min="2" style="0" width="50"/>
    <col collapsed="false" customWidth="true" hidden="false" outlineLevel="0" max="4" min="4" style="0" width="14"/>
    <col collapsed="false" customWidth="true" hidden="false" outlineLevel="0" max="5" min="5" style="0" width="22"/>
    <col collapsed="false" customWidth="true" hidden="false" outlineLevel="0" max="6" min="6" style="0" width="45"/>
    <col collapsed="false" customWidth="true" hidden="false" outlineLevel="0" max="7" min="7" style="0" width="28"/>
    <col collapsed="false" customWidth="true" hidden="false" outlineLevel="0" max="8" min="8" style="0" width="11"/>
    <col collapsed="false" customWidth="true" hidden="false" outlineLevel="0" max="9" min="9" style="0" width="10"/>
    <col collapsed="false" customWidth="true" hidden="false" outlineLevel="0" max="11" min="10" style="0" width="45"/>
    <col collapsed="false" customWidth="true" hidden="false" outlineLevel="0" max="12" min="12" style="0" width="30"/>
  </cols>
  <sheetData>
    <row r="1" customFormat="false" ht="39.55" hidden="false" customHeight="false" outlineLevel="0" collapsed="false">
      <c r="A1" s="4" t="s">
        <v>19</v>
      </c>
      <c r="B1" s="4" t="s">
        <v>989</v>
      </c>
      <c r="C1" s="4" t="s">
        <v>990</v>
      </c>
      <c r="D1" s="4" t="s">
        <v>991</v>
      </c>
      <c r="E1" s="4" t="s">
        <v>992</v>
      </c>
      <c r="F1" s="4" t="s">
        <v>23</v>
      </c>
      <c r="G1" s="4" t="s">
        <v>25</v>
      </c>
      <c r="H1" s="4" t="s">
        <v>26</v>
      </c>
      <c r="I1" s="4" t="s">
        <v>27</v>
      </c>
      <c r="J1" s="4" t="s">
        <v>993</v>
      </c>
      <c r="K1" s="4" t="s">
        <v>994</v>
      </c>
      <c r="L1" s="4" t="s">
        <v>30</v>
      </c>
    </row>
    <row r="2" customFormat="false" ht="26.85" hidden="false" customHeight="false" outlineLevel="0" collapsed="false">
      <c r="A2" s="5" t="s">
        <v>995</v>
      </c>
      <c r="B2" s="5" t="s">
        <v>996</v>
      </c>
      <c r="C2" s="5" t="s">
        <v>997</v>
      </c>
      <c r="D2" s="5" t="s">
        <v>998</v>
      </c>
      <c r="E2" s="5" t="s">
        <v>999</v>
      </c>
      <c r="F2" s="5" t="s">
        <v>1000</v>
      </c>
      <c r="G2" s="5"/>
      <c r="H2" s="5" t="s">
        <v>37</v>
      </c>
      <c r="I2" s="6" t="s">
        <v>38</v>
      </c>
      <c r="J2" s="6"/>
      <c r="K2" s="6"/>
      <c r="L2" s="6"/>
    </row>
    <row r="3" customFormat="false" ht="26.85" hidden="false" customHeight="false" outlineLevel="0" collapsed="false">
      <c r="A3" s="5" t="s">
        <v>1001</v>
      </c>
      <c r="B3" s="5" t="s">
        <v>1002</v>
      </c>
      <c r="C3" s="5" t="s">
        <v>1003</v>
      </c>
      <c r="D3" s="5" t="s">
        <v>1004</v>
      </c>
      <c r="E3" s="5" t="s">
        <v>1005</v>
      </c>
      <c r="F3" s="5" t="s">
        <v>1006</v>
      </c>
      <c r="G3" s="5"/>
      <c r="H3" s="5" t="s">
        <v>37</v>
      </c>
      <c r="I3" s="6" t="s">
        <v>38</v>
      </c>
      <c r="J3" s="6"/>
      <c r="K3" s="6"/>
      <c r="L3" s="6"/>
    </row>
    <row r="4" customFormat="false" ht="26.85" hidden="false" customHeight="false" outlineLevel="0" collapsed="false">
      <c r="A4" s="5" t="s">
        <v>1007</v>
      </c>
      <c r="B4" s="5" t="s">
        <v>1008</v>
      </c>
      <c r="C4" s="5" t="s">
        <v>1009</v>
      </c>
      <c r="D4" s="5" t="s">
        <v>1010</v>
      </c>
      <c r="E4" s="5" t="s">
        <v>1011</v>
      </c>
      <c r="F4" s="5" t="s">
        <v>1012</v>
      </c>
      <c r="G4" s="5"/>
      <c r="H4" s="5" t="s">
        <v>37</v>
      </c>
      <c r="I4" s="6" t="s">
        <v>38</v>
      </c>
      <c r="J4" s="6"/>
      <c r="K4" s="6"/>
      <c r="L4" s="6"/>
    </row>
    <row r="5" customFormat="false" ht="26.85" hidden="false" customHeight="false" outlineLevel="0" collapsed="false">
      <c r="A5" s="5" t="s">
        <v>1013</v>
      </c>
      <c r="B5" s="5" t="s">
        <v>1014</v>
      </c>
      <c r="C5" s="5" t="s">
        <v>1015</v>
      </c>
      <c r="D5" s="5" t="s">
        <v>1016</v>
      </c>
      <c r="E5" s="5" t="s">
        <v>1005</v>
      </c>
      <c r="F5" s="5" t="s">
        <v>1017</v>
      </c>
      <c r="G5" s="5"/>
      <c r="H5" s="5" t="s">
        <v>37</v>
      </c>
      <c r="I5" s="6" t="s">
        <v>38</v>
      </c>
      <c r="J5" s="6"/>
      <c r="K5" s="6"/>
      <c r="L5" s="6"/>
    </row>
    <row r="6" customFormat="false" ht="26.85" hidden="false" customHeight="false" outlineLevel="0" collapsed="false">
      <c r="A6" s="5" t="s">
        <v>1018</v>
      </c>
      <c r="B6" s="5" t="s">
        <v>1019</v>
      </c>
      <c r="C6" s="5" t="s">
        <v>1020</v>
      </c>
      <c r="D6" s="5" t="s">
        <v>1021</v>
      </c>
      <c r="E6" s="5" t="s">
        <v>1022</v>
      </c>
      <c r="F6" s="5" t="s">
        <v>1023</v>
      </c>
      <c r="G6" s="5"/>
      <c r="H6" s="5" t="s">
        <v>37</v>
      </c>
      <c r="I6" s="6" t="s">
        <v>38</v>
      </c>
      <c r="J6" s="6"/>
      <c r="K6" s="6"/>
      <c r="L6" s="6"/>
    </row>
    <row r="7" customFormat="false" ht="26.85" hidden="false" customHeight="false" outlineLevel="0" collapsed="false">
      <c r="A7" s="5" t="s">
        <v>1024</v>
      </c>
      <c r="B7" s="5" t="s">
        <v>1025</v>
      </c>
      <c r="C7" s="5" t="s">
        <v>1026</v>
      </c>
      <c r="D7" s="5" t="s">
        <v>1027</v>
      </c>
      <c r="E7" s="5" t="s">
        <v>1028</v>
      </c>
      <c r="F7" s="5" t="s">
        <v>1029</v>
      </c>
      <c r="G7" s="5"/>
      <c r="H7" s="5" t="s">
        <v>37</v>
      </c>
      <c r="I7" s="6" t="s">
        <v>38</v>
      </c>
      <c r="J7" s="6"/>
      <c r="K7" s="6"/>
      <c r="L7" s="6"/>
    </row>
    <row r="8" customFormat="false" ht="26.85" hidden="false" customHeight="false" outlineLevel="0" collapsed="false">
      <c r="A8" s="5" t="s">
        <v>1030</v>
      </c>
      <c r="B8" s="5" t="s">
        <v>1031</v>
      </c>
      <c r="C8" s="5" t="s">
        <v>1032</v>
      </c>
      <c r="D8" s="5" t="s">
        <v>1033</v>
      </c>
      <c r="E8" s="5" t="s">
        <v>1034</v>
      </c>
      <c r="F8" s="5" t="s">
        <v>1035</v>
      </c>
      <c r="G8" s="5"/>
      <c r="H8" s="5" t="s">
        <v>75</v>
      </c>
      <c r="I8" s="6" t="s">
        <v>38</v>
      </c>
      <c r="J8" s="6"/>
      <c r="K8" s="6"/>
      <c r="L8" s="6"/>
    </row>
    <row r="9" customFormat="false" ht="26.85" hidden="false" customHeight="false" outlineLevel="0" collapsed="false">
      <c r="A9" s="5" t="s">
        <v>1036</v>
      </c>
      <c r="B9" s="5" t="s">
        <v>1037</v>
      </c>
      <c r="C9" s="5" t="s">
        <v>1038</v>
      </c>
      <c r="D9" s="5" t="s">
        <v>1039</v>
      </c>
      <c r="E9" s="5" t="s">
        <v>1040</v>
      </c>
      <c r="F9" s="5" t="s">
        <v>1041</v>
      </c>
      <c r="G9" s="5"/>
      <c r="H9" s="5" t="s">
        <v>37</v>
      </c>
      <c r="I9" s="6" t="s">
        <v>38</v>
      </c>
      <c r="J9" s="6"/>
      <c r="K9" s="6"/>
      <c r="L9" s="6"/>
    </row>
    <row r="10" customFormat="false" ht="26.85" hidden="false" customHeight="false" outlineLevel="0" collapsed="false">
      <c r="A10" s="5" t="s">
        <v>1042</v>
      </c>
      <c r="B10" s="5" t="s">
        <v>1043</v>
      </c>
      <c r="C10" s="5" t="s">
        <v>1044</v>
      </c>
      <c r="D10" s="5" t="s">
        <v>1045</v>
      </c>
      <c r="E10" s="5" t="s">
        <v>1005</v>
      </c>
      <c r="F10" s="5" t="s">
        <v>1046</v>
      </c>
      <c r="G10" s="5"/>
      <c r="H10" s="5" t="s">
        <v>37</v>
      </c>
      <c r="I10" s="6" t="s">
        <v>38</v>
      </c>
      <c r="J10" s="6"/>
      <c r="K10" s="6"/>
      <c r="L10" s="6"/>
    </row>
    <row r="11" customFormat="false" ht="26.85" hidden="false" customHeight="false" outlineLevel="0" collapsed="false">
      <c r="A11" s="5" t="s">
        <v>1047</v>
      </c>
      <c r="B11" s="5" t="s">
        <v>1048</v>
      </c>
      <c r="C11" s="5" t="s">
        <v>1049</v>
      </c>
      <c r="D11" s="5" t="s">
        <v>1050</v>
      </c>
      <c r="E11" s="5" t="s">
        <v>1051</v>
      </c>
      <c r="F11" s="5" t="s">
        <v>1052</v>
      </c>
      <c r="G11" s="5"/>
      <c r="H11" s="5" t="s">
        <v>75</v>
      </c>
      <c r="I11" s="6" t="s">
        <v>38</v>
      </c>
      <c r="J11" s="6"/>
      <c r="K11" s="6"/>
      <c r="L11" s="6"/>
    </row>
    <row r="12" customFormat="false" ht="26.85" hidden="false" customHeight="false" outlineLevel="0" collapsed="false">
      <c r="A12" s="5" t="s">
        <v>1053</v>
      </c>
      <c r="B12" s="5" t="s">
        <v>1054</v>
      </c>
      <c r="C12" s="5" t="s">
        <v>1055</v>
      </c>
      <c r="D12" s="5" t="s">
        <v>1056</v>
      </c>
      <c r="E12" s="5" t="s">
        <v>1057</v>
      </c>
      <c r="F12" s="5" t="s">
        <v>1058</v>
      </c>
      <c r="G12" s="5"/>
      <c r="H12" s="5" t="s">
        <v>37</v>
      </c>
      <c r="I12" s="6" t="s">
        <v>38</v>
      </c>
      <c r="J12" s="6"/>
      <c r="K12" s="6"/>
      <c r="L12" s="6"/>
    </row>
    <row r="13" customFormat="false" ht="26.85" hidden="false" customHeight="false" outlineLevel="0" collapsed="false">
      <c r="A13" s="5" t="s">
        <v>1059</v>
      </c>
      <c r="B13" s="5" t="s">
        <v>1060</v>
      </c>
      <c r="C13" s="5" t="s">
        <v>1061</v>
      </c>
      <c r="D13" s="5" t="s">
        <v>1062</v>
      </c>
      <c r="E13" s="5" t="s">
        <v>1063</v>
      </c>
      <c r="F13" s="5" t="s">
        <v>1064</v>
      </c>
      <c r="G13" s="5"/>
      <c r="H13" s="5" t="s">
        <v>37</v>
      </c>
      <c r="I13" s="6" t="s">
        <v>38</v>
      </c>
      <c r="J13" s="6"/>
      <c r="K13" s="6"/>
      <c r="L13" s="6"/>
    </row>
    <row r="14" customFormat="false" ht="26.85" hidden="false" customHeight="false" outlineLevel="0" collapsed="false">
      <c r="A14" s="5" t="s">
        <v>1065</v>
      </c>
      <c r="B14" s="5" t="s">
        <v>1066</v>
      </c>
      <c r="C14" s="5" t="s">
        <v>1067</v>
      </c>
      <c r="D14" s="5" t="s">
        <v>1068</v>
      </c>
      <c r="E14" s="5" t="s">
        <v>1069</v>
      </c>
      <c r="F14" s="5" t="s">
        <v>1070</v>
      </c>
      <c r="G14" s="5"/>
      <c r="H14" s="5" t="s">
        <v>75</v>
      </c>
      <c r="I14" s="6" t="s">
        <v>38</v>
      </c>
      <c r="J14" s="6"/>
      <c r="K14" s="6"/>
      <c r="L14" s="6"/>
    </row>
    <row r="15" customFormat="false" ht="39.55" hidden="false" customHeight="false" outlineLevel="0" collapsed="false">
      <c r="A15" s="5" t="s">
        <v>1071</v>
      </c>
      <c r="B15" s="5" t="s">
        <v>1072</v>
      </c>
      <c r="C15" s="5" t="s">
        <v>1073</v>
      </c>
      <c r="D15" s="5" t="s">
        <v>1074</v>
      </c>
      <c r="E15" s="5" t="s">
        <v>1075</v>
      </c>
      <c r="F15" s="5" t="s">
        <v>1076</v>
      </c>
      <c r="G15" s="5" t="s">
        <v>1077</v>
      </c>
      <c r="H15" s="5" t="s">
        <v>75</v>
      </c>
      <c r="I15" s="6" t="s">
        <v>38</v>
      </c>
      <c r="J15" s="6"/>
      <c r="K15" s="6"/>
      <c r="L15" s="6"/>
    </row>
    <row r="16" customFormat="false" ht="39.55" hidden="false" customHeight="false" outlineLevel="0" collapsed="false">
      <c r="A16" s="5" t="s">
        <v>1078</v>
      </c>
      <c r="B16" s="5" t="s">
        <v>1079</v>
      </c>
      <c r="C16" s="5" t="s">
        <v>1080</v>
      </c>
      <c r="D16" s="5" t="s">
        <v>1081</v>
      </c>
      <c r="E16" s="5" t="s">
        <v>1011</v>
      </c>
      <c r="F16" s="5" t="s">
        <v>1082</v>
      </c>
      <c r="G16" s="5"/>
      <c r="H16" s="5" t="s">
        <v>75</v>
      </c>
      <c r="I16" s="6" t="s">
        <v>38</v>
      </c>
      <c r="J16" s="6"/>
      <c r="K16" s="6"/>
      <c r="L16" s="6"/>
    </row>
    <row r="17" customFormat="false" ht="26.85" hidden="false" customHeight="false" outlineLevel="0" collapsed="false">
      <c r="A17" s="5" t="s">
        <v>1083</v>
      </c>
      <c r="B17" s="5" t="s">
        <v>1084</v>
      </c>
      <c r="C17" s="5" t="s">
        <v>1085</v>
      </c>
      <c r="D17" s="5" t="s">
        <v>1086</v>
      </c>
      <c r="E17" s="5" t="s">
        <v>1087</v>
      </c>
      <c r="F17" s="5" t="s">
        <v>1088</v>
      </c>
      <c r="G17" s="5"/>
      <c r="H17" s="5" t="s">
        <v>75</v>
      </c>
      <c r="I17" s="6" t="s">
        <v>38</v>
      </c>
      <c r="J17" s="6"/>
      <c r="K17" s="6"/>
      <c r="L17" s="6"/>
    </row>
    <row r="18" customFormat="false" ht="26.85" hidden="false" customHeight="false" outlineLevel="0" collapsed="false">
      <c r="A18" s="5" t="s">
        <v>1089</v>
      </c>
      <c r="B18" s="5" t="s">
        <v>1090</v>
      </c>
      <c r="C18" s="5" t="s">
        <v>1091</v>
      </c>
      <c r="D18" s="5" t="s">
        <v>1092</v>
      </c>
      <c r="E18" s="5" t="s">
        <v>1093</v>
      </c>
      <c r="F18" s="5" t="s">
        <v>1094</v>
      </c>
      <c r="G18" s="5" t="s">
        <v>1095</v>
      </c>
      <c r="H18" s="5" t="s">
        <v>521</v>
      </c>
      <c r="I18" s="6" t="s">
        <v>38</v>
      </c>
      <c r="J18" s="6"/>
      <c r="K18" s="6"/>
      <c r="L18" s="6"/>
    </row>
    <row r="19" customFormat="false" ht="26.85" hidden="false" customHeight="false" outlineLevel="0" collapsed="false">
      <c r="A19" s="5" t="s">
        <v>1096</v>
      </c>
      <c r="B19" s="5" t="s">
        <v>1097</v>
      </c>
      <c r="C19" s="5" t="s">
        <v>1098</v>
      </c>
      <c r="D19" s="5" t="s">
        <v>1099</v>
      </c>
      <c r="E19" s="5" t="s">
        <v>1100</v>
      </c>
      <c r="F19" s="5" t="s">
        <v>1101</v>
      </c>
      <c r="G19" s="5"/>
      <c r="H19" s="5" t="s">
        <v>37</v>
      </c>
      <c r="I19" s="6" t="s">
        <v>38</v>
      </c>
      <c r="J19" s="6"/>
      <c r="K19" s="6"/>
      <c r="L19" s="6"/>
    </row>
    <row r="20" customFormat="false" ht="26.85" hidden="false" customHeight="false" outlineLevel="0" collapsed="false">
      <c r="A20" s="5" t="s">
        <v>1102</v>
      </c>
      <c r="B20" s="5" t="s">
        <v>1103</v>
      </c>
      <c r="C20" s="5" t="s">
        <v>1104</v>
      </c>
      <c r="D20" s="5" t="s">
        <v>1105</v>
      </c>
      <c r="E20" s="5" t="s">
        <v>1022</v>
      </c>
      <c r="F20" s="5" t="s">
        <v>1106</v>
      </c>
      <c r="G20" s="5"/>
      <c r="H20" s="5" t="s">
        <v>37</v>
      </c>
      <c r="I20" s="6" t="s">
        <v>38</v>
      </c>
      <c r="J20" s="6"/>
      <c r="K20" s="6"/>
      <c r="L20" s="6"/>
    </row>
    <row r="21" customFormat="false" ht="26.85" hidden="false" customHeight="false" outlineLevel="0" collapsed="false">
      <c r="A21" s="5" t="s">
        <v>1107</v>
      </c>
      <c r="B21" s="5" t="s">
        <v>1108</v>
      </c>
      <c r="C21" s="5" t="s">
        <v>1109</v>
      </c>
      <c r="D21" s="5" t="s">
        <v>1110</v>
      </c>
      <c r="E21" s="5" t="s">
        <v>1005</v>
      </c>
      <c r="F21" s="5" t="s">
        <v>1111</v>
      </c>
      <c r="G21" s="5"/>
      <c r="H21" s="5" t="s">
        <v>37</v>
      </c>
      <c r="I21" s="6" t="s">
        <v>38</v>
      </c>
      <c r="J21" s="6"/>
      <c r="K21" s="6"/>
      <c r="L21" s="6"/>
    </row>
    <row r="22" customFormat="false" ht="26.85" hidden="false" customHeight="false" outlineLevel="0" collapsed="false">
      <c r="A22" s="5" t="s">
        <v>1112</v>
      </c>
      <c r="B22" s="5" t="s">
        <v>1113</v>
      </c>
      <c r="C22" s="5" t="s">
        <v>1114</v>
      </c>
      <c r="D22" s="5" t="s">
        <v>1115</v>
      </c>
      <c r="E22" s="5" t="s">
        <v>1011</v>
      </c>
      <c r="F22" s="5" t="s">
        <v>1116</v>
      </c>
      <c r="G22" s="5"/>
      <c r="H22" s="5" t="s">
        <v>75</v>
      </c>
      <c r="I22" s="6" t="s">
        <v>38</v>
      </c>
      <c r="J22" s="6"/>
      <c r="K22" s="6"/>
      <c r="L22" s="6"/>
    </row>
    <row r="23" customFormat="false" ht="26.85" hidden="false" customHeight="false" outlineLevel="0" collapsed="false">
      <c r="A23" s="5" t="s">
        <v>1117</v>
      </c>
      <c r="B23" s="5" t="s">
        <v>1118</v>
      </c>
      <c r="C23" s="5" t="s">
        <v>1119</v>
      </c>
      <c r="D23" s="5" t="s">
        <v>1120</v>
      </c>
      <c r="E23" s="5" t="s">
        <v>1121</v>
      </c>
      <c r="F23" s="5" t="s">
        <v>1122</v>
      </c>
      <c r="G23" s="5"/>
      <c r="H23" s="5" t="s">
        <v>75</v>
      </c>
      <c r="I23" s="6" t="s">
        <v>38</v>
      </c>
      <c r="J23" s="6"/>
      <c r="K23" s="6"/>
      <c r="L23" s="6"/>
    </row>
    <row r="24" customFormat="false" ht="26.85" hidden="false" customHeight="false" outlineLevel="0" collapsed="false">
      <c r="A24" s="5" t="s">
        <v>1123</v>
      </c>
      <c r="B24" s="5" t="s">
        <v>1124</v>
      </c>
      <c r="C24" s="5" t="s">
        <v>1125</v>
      </c>
      <c r="D24" s="5" t="s">
        <v>1126</v>
      </c>
      <c r="E24" s="5" t="s">
        <v>1051</v>
      </c>
      <c r="F24" s="5" t="s">
        <v>1127</v>
      </c>
      <c r="G24" s="5"/>
      <c r="H24" s="5" t="s">
        <v>75</v>
      </c>
      <c r="I24" s="6" t="s">
        <v>38</v>
      </c>
      <c r="J24" s="6"/>
      <c r="K24" s="6"/>
      <c r="L24" s="6"/>
    </row>
    <row r="25" customFormat="false" ht="26.85" hidden="false" customHeight="false" outlineLevel="0" collapsed="false">
      <c r="A25" s="5" t="s">
        <v>1128</v>
      </c>
      <c r="B25" s="5" t="s">
        <v>1129</v>
      </c>
      <c r="C25" s="5" t="s">
        <v>1130</v>
      </c>
      <c r="D25" s="5" t="s">
        <v>1131</v>
      </c>
      <c r="E25" s="5" t="s">
        <v>1132</v>
      </c>
      <c r="F25" s="5" t="s">
        <v>1133</v>
      </c>
      <c r="G25" s="5"/>
      <c r="H25" s="5" t="s">
        <v>75</v>
      </c>
      <c r="I25" s="6" t="s">
        <v>38</v>
      </c>
      <c r="J25" s="6"/>
      <c r="K25" s="6"/>
      <c r="L25" s="6"/>
    </row>
    <row r="26" customFormat="false" ht="26.85" hidden="false" customHeight="false" outlineLevel="0" collapsed="false">
      <c r="A26" s="5" t="s">
        <v>1134</v>
      </c>
      <c r="B26" s="5" t="s">
        <v>1135</v>
      </c>
      <c r="C26" s="5" t="s">
        <v>1136</v>
      </c>
      <c r="D26" s="5" t="s">
        <v>1137</v>
      </c>
      <c r="E26" s="5" t="s">
        <v>1034</v>
      </c>
      <c r="F26" s="5" t="s">
        <v>1138</v>
      </c>
      <c r="G26" s="5"/>
      <c r="H26" s="5" t="s">
        <v>75</v>
      </c>
      <c r="I26" s="6" t="s">
        <v>38</v>
      </c>
      <c r="J26" s="6"/>
      <c r="K26" s="6"/>
      <c r="L26" s="6"/>
    </row>
    <row r="27" customFormat="false" ht="26.85" hidden="false" customHeight="false" outlineLevel="0" collapsed="false">
      <c r="A27" s="5" t="s">
        <v>1139</v>
      </c>
      <c r="B27" s="5" t="s">
        <v>1140</v>
      </c>
      <c r="C27" s="5" t="s">
        <v>1141</v>
      </c>
      <c r="D27" s="5" t="s">
        <v>1142</v>
      </c>
      <c r="E27" s="5" t="s">
        <v>1005</v>
      </c>
      <c r="F27" s="5" t="s">
        <v>1143</v>
      </c>
      <c r="G27" s="5"/>
      <c r="H27" s="5" t="s">
        <v>37</v>
      </c>
      <c r="I27" s="6" t="s">
        <v>38</v>
      </c>
      <c r="J27" s="6"/>
      <c r="K27" s="6"/>
      <c r="L27" s="6"/>
    </row>
    <row r="28" customFormat="false" ht="26.85" hidden="false" customHeight="false" outlineLevel="0" collapsed="false">
      <c r="A28" s="5" t="s">
        <v>1144</v>
      </c>
      <c r="B28" s="5" t="s">
        <v>1145</v>
      </c>
      <c r="C28" s="5" t="s">
        <v>1146</v>
      </c>
      <c r="D28" s="5" t="s">
        <v>1147</v>
      </c>
      <c r="E28" s="5" t="s">
        <v>1051</v>
      </c>
      <c r="F28" s="5" t="s">
        <v>1148</v>
      </c>
      <c r="G28" s="5"/>
      <c r="H28" s="5" t="s">
        <v>75</v>
      </c>
      <c r="I28" s="6" t="s">
        <v>38</v>
      </c>
      <c r="J28" s="6"/>
      <c r="K28" s="6"/>
      <c r="L28" s="6"/>
    </row>
    <row r="29" customFormat="false" ht="26.85" hidden="false" customHeight="false" outlineLevel="0" collapsed="false">
      <c r="A29" s="5" t="s">
        <v>1149</v>
      </c>
      <c r="B29" s="5" t="s">
        <v>1150</v>
      </c>
      <c r="C29" s="5" t="s">
        <v>1151</v>
      </c>
      <c r="D29" s="5" t="s">
        <v>1152</v>
      </c>
      <c r="E29" s="5" t="s">
        <v>1153</v>
      </c>
      <c r="F29" s="5" t="s">
        <v>1154</v>
      </c>
      <c r="G29" s="5"/>
      <c r="H29" s="5" t="s">
        <v>75</v>
      </c>
      <c r="I29" s="6" t="s">
        <v>38</v>
      </c>
      <c r="J29" s="6"/>
      <c r="K29" s="6"/>
      <c r="L29" s="6"/>
    </row>
    <row r="30" customFormat="false" ht="26.85" hidden="false" customHeight="false" outlineLevel="0" collapsed="false">
      <c r="A30" s="5" t="s">
        <v>1155</v>
      </c>
      <c r="B30" s="5" t="s">
        <v>1156</v>
      </c>
      <c r="C30" s="5" t="s">
        <v>1157</v>
      </c>
      <c r="D30" s="5" t="s">
        <v>1158</v>
      </c>
      <c r="E30" s="5" t="s">
        <v>1028</v>
      </c>
      <c r="F30" s="5" t="s">
        <v>1159</v>
      </c>
      <c r="G30" s="5"/>
      <c r="H30" s="5" t="s">
        <v>37</v>
      </c>
      <c r="I30" s="6" t="s">
        <v>38</v>
      </c>
      <c r="J30" s="6"/>
      <c r="K30" s="6"/>
      <c r="L30" s="6"/>
    </row>
    <row r="31" customFormat="false" ht="26.85" hidden="false" customHeight="false" outlineLevel="0" collapsed="false">
      <c r="A31" s="5" t="s">
        <v>1160</v>
      </c>
      <c r="B31" s="5" t="s">
        <v>1161</v>
      </c>
      <c r="C31" s="5" t="s">
        <v>1162</v>
      </c>
      <c r="D31" s="5" t="s">
        <v>1163</v>
      </c>
      <c r="E31" s="5" t="s">
        <v>1005</v>
      </c>
      <c r="F31" s="5" t="s">
        <v>1164</v>
      </c>
      <c r="G31" s="5"/>
      <c r="H31" s="5" t="s">
        <v>75</v>
      </c>
      <c r="I31" s="6" t="s">
        <v>38</v>
      </c>
      <c r="J31" s="6"/>
      <c r="K31" s="6"/>
      <c r="L31" s="6"/>
    </row>
  </sheetData>
  <autoFilter ref="A1:L31"/>
  <dataValidations count="1">
    <dataValidation allowBlank="false" error="Use TODO, OK, FIXED or DROP." errorStyle="stop" operator="between" prompt="OK = correct as written. FIXED = you wrote a correction. DROP = do not use." showDropDown="false" showErrorMessage="false" showInputMessage="false" sqref="I2:I31" type="list">
      <formula1>"TODO,OK,FIXED,DROP"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3" min="2" style="0" width="36"/>
    <col collapsed="false" customWidth="true" hidden="false" outlineLevel="0" max="4" min="4" style="0" width="32"/>
    <col collapsed="false" customWidth="true" hidden="false" outlineLevel="0" max="6" min="5" style="0" width="28"/>
    <col collapsed="false" customWidth="true" hidden="false" outlineLevel="0" max="7" min="7" style="0" width="11"/>
    <col collapsed="false" customWidth="true" hidden="false" outlineLevel="0" max="8" min="8" style="0" width="10"/>
    <col collapsed="false" customWidth="true" hidden="false" outlineLevel="0" max="10" min="9" style="0" width="36"/>
    <col collapsed="false" customWidth="true" hidden="false" outlineLevel="0" max="11" min="11" style="0" width="30"/>
  </cols>
  <sheetData>
    <row r="1" customFormat="false" ht="39.55" hidden="false" customHeight="false" outlineLevel="0" collapsed="false">
      <c r="A1" s="4" t="s">
        <v>19</v>
      </c>
      <c r="B1" s="4" t="s">
        <v>1165</v>
      </c>
      <c r="C1" s="4" t="s">
        <v>1166</v>
      </c>
      <c r="D1" s="4" t="s">
        <v>23</v>
      </c>
      <c r="E1" s="4" t="s">
        <v>1167</v>
      </c>
      <c r="F1" s="4" t="s">
        <v>25</v>
      </c>
      <c r="G1" s="4" t="s">
        <v>26</v>
      </c>
      <c r="H1" s="4" t="s">
        <v>27</v>
      </c>
      <c r="I1" s="4" t="s">
        <v>1168</v>
      </c>
      <c r="J1" s="4" t="s">
        <v>1169</v>
      </c>
      <c r="K1" s="4" t="s">
        <v>30</v>
      </c>
    </row>
    <row r="2" customFormat="false" ht="15" hidden="false" customHeight="false" outlineLevel="0" collapsed="false">
      <c r="A2" s="5" t="s">
        <v>1170</v>
      </c>
      <c r="B2" s="5" t="s">
        <v>407</v>
      </c>
      <c r="C2" s="5" t="s">
        <v>1171</v>
      </c>
      <c r="D2" s="5" t="s">
        <v>409</v>
      </c>
      <c r="E2" s="5" t="s">
        <v>1172</v>
      </c>
      <c r="F2" s="5"/>
      <c r="G2" s="5" t="s">
        <v>37</v>
      </c>
      <c r="H2" s="6" t="s">
        <v>38</v>
      </c>
      <c r="I2" s="6"/>
      <c r="J2" s="6"/>
      <c r="K2" s="6"/>
    </row>
    <row r="3" customFormat="false" ht="15" hidden="false" customHeight="false" outlineLevel="0" collapsed="false">
      <c r="A3" s="5" t="s">
        <v>1173</v>
      </c>
      <c r="B3" s="5" t="s">
        <v>1174</v>
      </c>
      <c r="C3" s="5" t="s">
        <v>1175</v>
      </c>
      <c r="D3" s="5" t="s">
        <v>1176</v>
      </c>
      <c r="E3" s="5" t="s">
        <v>1177</v>
      </c>
      <c r="F3" s="5"/>
      <c r="G3" s="5" t="s">
        <v>37</v>
      </c>
      <c r="H3" s="6" t="s">
        <v>38</v>
      </c>
      <c r="I3" s="6"/>
      <c r="J3" s="6"/>
      <c r="K3" s="6"/>
    </row>
    <row r="4" customFormat="false" ht="15" hidden="false" customHeight="false" outlineLevel="0" collapsed="false">
      <c r="A4" s="5" t="s">
        <v>1178</v>
      </c>
      <c r="B4" s="5" t="s">
        <v>1179</v>
      </c>
      <c r="C4" s="5" t="s">
        <v>1180</v>
      </c>
      <c r="D4" s="5" t="s">
        <v>1181</v>
      </c>
      <c r="E4" s="5" t="s">
        <v>1182</v>
      </c>
      <c r="F4" s="5"/>
      <c r="G4" s="5" t="s">
        <v>37</v>
      </c>
      <c r="H4" s="6" t="s">
        <v>38</v>
      </c>
      <c r="I4" s="6"/>
      <c r="J4" s="6"/>
      <c r="K4" s="6"/>
    </row>
    <row r="5" customFormat="false" ht="15" hidden="false" customHeight="false" outlineLevel="0" collapsed="false">
      <c r="A5" s="5" t="s">
        <v>1183</v>
      </c>
      <c r="B5" s="5" t="s">
        <v>1184</v>
      </c>
      <c r="C5" s="5" t="s">
        <v>1185</v>
      </c>
      <c r="D5" s="5" t="s">
        <v>1186</v>
      </c>
      <c r="E5" s="5" t="s">
        <v>1187</v>
      </c>
      <c r="F5" s="5"/>
      <c r="G5" s="5" t="s">
        <v>37</v>
      </c>
      <c r="H5" s="6" t="s">
        <v>38</v>
      </c>
      <c r="I5" s="6"/>
      <c r="J5" s="6"/>
      <c r="K5" s="6"/>
    </row>
    <row r="6" customFormat="false" ht="15" hidden="false" customHeight="false" outlineLevel="0" collapsed="false">
      <c r="A6" s="5" t="s">
        <v>1188</v>
      </c>
      <c r="B6" s="5" t="s">
        <v>1189</v>
      </c>
      <c r="C6" s="5" t="s">
        <v>1190</v>
      </c>
      <c r="D6" s="5" t="s">
        <v>1191</v>
      </c>
      <c r="E6" s="5" t="s">
        <v>1192</v>
      </c>
      <c r="F6" s="5"/>
      <c r="G6" s="5" t="s">
        <v>37</v>
      </c>
      <c r="H6" s="6" t="s">
        <v>38</v>
      </c>
      <c r="I6" s="6"/>
      <c r="J6" s="6"/>
      <c r="K6" s="6"/>
    </row>
    <row r="7" customFormat="false" ht="26.85" hidden="false" customHeight="false" outlineLevel="0" collapsed="false">
      <c r="A7" s="5" t="s">
        <v>1193</v>
      </c>
      <c r="B7" s="5" t="s">
        <v>1194</v>
      </c>
      <c r="C7" s="5" t="s">
        <v>1195</v>
      </c>
      <c r="D7" s="5" t="s">
        <v>1196</v>
      </c>
      <c r="E7" s="5" t="s">
        <v>1197</v>
      </c>
      <c r="F7" s="5"/>
      <c r="G7" s="5" t="s">
        <v>75</v>
      </c>
      <c r="H7" s="6" t="s">
        <v>38</v>
      </c>
      <c r="I7" s="6"/>
      <c r="J7" s="6"/>
      <c r="K7" s="6"/>
    </row>
    <row r="8" customFormat="false" ht="15" hidden="false" customHeight="false" outlineLevel="0" collapsed="false">
      <c r="A8" s="5" t="s">
        <v>1198</v>
      </c>
      <c r="B8" s="5" t="s">
        <v>1199</v>
      </c>
      <c r="C8" s="5" t="s">
        <v>1200</v>
      </c>
      <c r="D8" s="5" t="s">
        <v>1201</v>
      </c>
      <c r="E8" s="5" t="s">
        <v>1202</v>
      </c>
      <c r="F8" s="5"/>
      <c r="G8" s="5" t="s">
        <v>75</v>
      </c>
      <c r="H8" s="6" t="s">
        <v>38</v>
      </c>
      <c r="I8" s="6"/>
      <c r="J8" s="6"/>
      <c r="K8" s="6"/>
    </row>
    <row r="9" customFormat="false" ht="15" hidden="false" customHeight="false" outlineLevel="0" collapsed="false">
      <c r="A9" s="5" t="s">
        <v>1203</v>
      </c>
      <c r="B9" s="5" t="s">
        <v>1204</v>
      </c>
      <c r="C9" s="5" t="s">
        <v>1205</v>
      </c>
      <c r="D9" s="5" t="s">
        <v>1206</v>
      </c>
      <c r="E9" s="5" t="s">
        <v>1207</v>
      </c>
      <c r="F9" s="5"/>
      <c r="G9" s="5" t="s">
        <v>75</v>
      </c>
      <c r="H9" s="6" t="s">
        <v>38</v>
      </c>
      <c r="I9" s="6"/>
      <c r="J9" s="6"/>
      <c r="K9" s="6"/>
    </row>
    <row r="10" customFormat="false" ht="15" hidden="false" customHeight="false" outlineLevel="0" collapsed="false">
      <c r="A10" s="5" t="s">
        <v>1208</v>
      </c>
      <c r="B10" s="5" t="s">
        <v>1209</v>
      </c>
      <c r="C10" s="5" t="s">
        <v>1210</v>
      </c>
      <c r="D10" s="5" t="s">
        <v>1211</v>
      </c>
      <c r="E10" s="5" t="s">
        <v>1212</v>
      </c>
      <c r="F10" s="5"/>
      <c r="G10" s="5" t="s">
        <v>37</v>
      </c>
      <c r="H10" s="6" t="s">
        <v>38</v>
      </c>
      <c r="I10" s="6"/>
      <c r="J10" s="6"/>
      <c r="K10" s="6"/>
    </row>
    <row r="11" customFormat="false" ht="15" hidden="false" customHeight="false" outlineLevel="0" collapsed="false">
      <c r="A11" s="5" t="s">
        <v>1213</v>
      </c>
      <c r="B11" s="5" t="s">
        <v>1214</v>
      </c>
      <c r="C11" s="5" t="s">
        <v>1215</v>
      </c>
      <c r="D11" s="5" t="s">
        <v>1216</v>
      </c>
      <c r="E11" s="5" t="s">
        <v>1217</v>
      </c>
      <c r="F11" s="5"/>
      <c r="G11" s="5" t="s">
        <v>75</v>
      </c>
      <c r="H11" s="6" t="s">
        <v>38</v>
      </c>
      <c r="I11" s="6"/>
      <c r="J11" s="6"/>
      <c r="K11" s="6"/>
    </row>
    <row r="12" customFormat="false" ht="15" hidden="false" customHeight="false" outlineLevel="0" collapsed="false">
      <c r="A12" s="5" t="s">
        <v>1218</v>
      </c>
      <c r="B12" s="5" t="s">
        <v>1219</v>
      </c>
      <c r="C12" s="5" t="s">
        <v>1220</v>
      </c>
      <c r="D12" s="5" t="s">
        <v>1221</v>
      </c>
      <c r="E12" s="5" t="s">
        <v>1222</v>
      </c>
      <c r="F12" s="5"/>
      <c r="G12" s="5" t="s">
        <v>37</v>
      </c>
      <c r="H12" s="6" t="s">
        <v>38</v>
      </c>
      <c r="I12" s="6"/>
      <c r="J12" s="6"/>
      <c r="K12" s="6"/>
    </row>
    <row r="13" customFormat="false" ht="15" hidden="false" customHeight="false" outlineLevel="0" collapsed="false">
      <c r="A13" s="5" t="s">
        <v>1223</v>
      </c>
      <c r="B13" s="5" t="s">
        <v>1224</v>
      </c>
      <c r="C13" s="5" t="s">
        <v>1225</v>
      </c>
      <c r="D13" s="5" t="s">
        <v>1226</v>
      </c>
      <c r="E13" s="5" t="s">
        <v>1227</v>
      </c>
      <c r="F13" s="5"/>
      <c r="G13" s="5" t="s">
        <v>75</v>
      </c>
      <c r="H13" s="6" t="s">
        <v>38</v>
      </c>
      <c r="I13" s="6"/>
      <c r="J13" s="6"/>
      <c r="K13" s="6"/>
    </row>
    <row r="14" customFormat="false" ht="15" hidden="false" customHeight="false" outlineLevel="0" collapsed="false">
      <c r="A14" s="5" t="s">
        <v>1228</v>
      </c>
      <c r="B14" s="5" t="s">
        <v>1229</v>
      </c>
      <c r="C14" s="5" t="s">
        <v>1230</v>
      </c>
      <c r="D14" s="5" t="s">
        <v>1231</v>
      </c>
      <c r="E14" s="5" t="s">
        <v>1182</v>
      </c>
      <c r="F14" s="5"/>
      <c r="G14" s="5" t="s">
        <v>37</v>
      </c>
      <c r="H14" s="6" t="s">
        <v>38</v>
      </c>
      <c r="I14" s="6"/>
      <c r="J14" s="6"/>
      <c r="K14" s="6"/>
    </row>
    <row r="15" customFormat="false" ht="26.85" hidden="false" customHeight="false" outlineLevel="0" collapsed="false">
      <c r="A15" s="5" t="s">
        <v>1232</v>
      </c>
      <c r="B15" s="5" t="s">
        <v>1233</v>
      </c>
      <c r="C15" s="5" t="s">
        <v>1234</v>
      </c>
      <c r="D15" s="5" t="s">
        <v>1235</v>
      </c>
      <c r="E15" s="5" t="s">
        <v>1236</v>
      </c>
      <c r="F15" s="5" t="s">
        <v>1237</v>
      </c>
      <c r="G15" s="5" t="s">
        <v>521</v>
      </c>
      <c r="H15" s="6" t="s">
        <v>38</v>
      </c>
      <c r="I15" s="6"/>
      <c r="J15" s="6"/>
      <c r="K15" s="6"/>
    </row>
    <row r="16" customFormat="false" ht="15" hidden="false" customHeight="false" outlineLevel="0" collapsed="false">
      <c r="A16" s="5" t="s">
        <v>1238</v>
      </c>
      <c r="B16" s="5" t="s">
        <v>1239</v>
      </c>
      <c r="C16" s="5" t="s">
        <v>1240</v>
      </c>
      <c r="D16" s="5" t="s">
        <v>1241</v>
      </c>
      <c r="E16" s="5" t="s">
        <v>1242</v>
      </c>
      <c r="F16" s="5"/>
      <c r="G16" s="5" t="s">
        <v>75</v>
      </c>
      <c r="H16" s="6" t="s">
        <v>38</v>
      </c>
      <c r="I16" s="6"/>
      <c r="J16" s="6"/>
      <c r="K16" s="6"/>
    </row>
    <row r="17" customFormat="false" ht="26.85" hidden="false" customHeight="false" outlineLevel="0" collapsed="false">
      <c r="A17" s="5" t="s">
        <v>1243</v>
      </c>
      <c r="B17" s="5" t="s">
        <v>1244</v>
      </c>
      <c r="C17" s="5" t="s">
        <v>1245</v>
      </c>
      <c r="D17" s="5" t="s">
        <v>1246</v>
      </c>
      <c r="E17" s="5" t="s">
        <v>1247</v>
      </c>
      <c r="F17" s="5"/>
      <c r="G17" s="5" t="s">
        <v>75</v>
      </c>
      <c r="H17" s="6" t="s">
        <v>38</v>
      </c>
      <c r="I17" s="6"/>
      <c r="J17" s="6"/>
      <c r="K17" s="6"/>
    </row>
    <row r="18" customFormat="false" ht="15" hidden="false" customHeight="false" outlineLevel="0" collapsed="false">
      <c r="A18" s="5" t="s">
        <v>1248</v>
      </c>
      <c r="B18" s="5" t="s">
        <v>1249</v>
      </c>
      <c r="C18" s="5" t="s">
        <v>1250</v>
      </c>
      <c r="D18" s="5" t="s">
        <v>1251</v>
      </c>
      <c r="E18" s="5" t="s">
        <v>1222</v>
      </c>
      <c r="F18" s="5"/>
      <c r="G18" s="5" t="s">
        <v>37</v>
      </c>
      <c r="H18" s="6" t="s">
        <v>38</v>
      </c>
      <c r="I18" s="6"/>
      <c r="J18" s="6"/>
      <c r="K18" s="6"/>
    </row>
    <row r="19" customFormat="false" ht="15" hidden="false" customHeight="false" outlineLevel="0" collapsed="false">
      <c r="A19" s="5" t="s">
        <v>1252</v>
      </c>
      <c r="B19" s="5" t="s">
        <v>1253</v>
      </c>
      <c r="C19" s="5" t="s">
        <v>1254</v>
      </c>
      <c r="D19" s="5" t="s">
        <v>1255</v>
      </c>
      <c r="E19" s="5" t="s">
        <v>1256</v>
      </c>
      <c r="F19" s="5"/>
      <c r="G19" s="5" t="s">
        <v>37</v>
      </c>
      <c r="H19" s="6" t="s">
        <v>38</v>
      </c>
      <c r="I19" s="6"/>
      <c r="J19" s="6"/>
      <c r="K19" s="6"/>
    </row>
    <row r="20" customFormat="false" ht="15" hidden="false" customHeight="false" outlineLevel="0" collapsed="false">
      <c r="A20" s="5" t="s">
        <v>1257</v>
      </c>
      <c r="B20" s="5" t="s">
        <v>1258</v>
      </c>
      <c r="C20" s="5" t="s">
        <v>1259</v>
      </c>
      <c r="D20" s="5" t="s">
        <v>1260</v>
      </c>
      <c r="E20" s="5" t="s">
        <v>1261</v>
      </c>
      <c r="F20" s="5"/>
      <c r="G20" s="5" t="s">
        <v>37</v>
      </c>
      <c r="H20" s="6" t="s">
        <v>38</v>
      </c>
      <c r="I20" s="6"/>
      <c r="J20" s="6"/>
      <c r="K20" s="6"/>
    </row>
    <row r="21" customFormat="false" ht="15" hidden="false" customHeight="false" outlineLevel="0" collapsed="false">
      <c r="A21" s="5" t="s">
        <v>1262</v>
      </c>
      <c r="B21" s="5" t="s">
        <v>1263</v>
      </c>
      <c r="C21" s="5" t="s">
        <v>1264</v>
      </c>
      <c r="D21" s="5" t="s">
        <v>1265</v>
      </c>
      <c r="E21" s="5" t="s">
        <v>1182</v>
      </c>
      <c r="F21" s="5"/>
      <c r="G21" s="5" t="s">
        <v>37</v>
      </c>
      <c r="H21" s="6" t="s">
        <v>38</v>
      </c>
      <c r="I21" s="6"/>
      <c r="J21" s="6"/>
      <c r="K21" s="6"/>
    </row>
  </sheetData>
  <autoFilter ref="A1:K21"/>
  <dataValidations count="1">
    <dataValidation allowBlank="false" error="Use TODO, OK, FIXED or DROP." errorStyle="stop" operator="between" prompt="OK = correct as written. FIXED = you wrote a correction. DROP = do not use." showDropDown="false" showErrorMessage="false" showInputMessage="false" sqref="H2:H21" type="list">
      <formula1>"TODO,OK,FIXED,DROP"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7" min="2" style="0" width="14"/>
  </cols>
  <sheetData>
    <row r="1" customFormat="false" ht="15" hidden="false" customHeight="false" outlineLevel="0" collapsed="false">
      <c r="A1" s="7" t="s">
        <v>1266</v>
      </c>
      <c r="B1" s="7" t="s">
        <v>1267</v>
      </c>
      <c r="C1" s="7" t="s">
        <v>38</v>
      </c>
      <c r="D1" s="7" t="s">
        <v>1268</v>
      </c>
      <c r="E1" s="7" t="s">
        <v>1269</v>
      </c>
      <c r="F1" s="7" t="s">
        <v>1270</v>
      </c>
      <c r="G1" s="7" t="s">
        <v>1271</v>
      </c>
    </row>
    <row r="2" customFormat="false" ht="15" hidden="false" customHeight="false" outlineLevel="0" collapsed="false">
      <c r="A2" s="8" t="s">
        <v>1272</v>
      </c>
      <c r="B2" s="8" t="n">
        <f aca="false">COUNTIFS(minimal_pairs!$B$2:$B$201,"noun_class_agreement")</f>
        <v>50</v>
      </c>
      <c r="C2" s="8" t="n">
        <f aca="false">COUNTIFS(minimal_pairs!$B$2:$B$201,"noun_class_agreement",minimal_pairs!$I$2:$I$201,"TODO")</f>
        <v>50</v>
      </c>
      <c r="D2" s="8" t="n">
        <f aca="false">COUNTIFS(minimal_pairs!$B$2:$B$201,"noun_class_agreement",minimal_pairs!$I$2:$I$201,"OK")</f>
        <v>0</v>
      </c>
      <c r="E2" s="8" t="n">
        <f aca="false">COUNTIFS(minimal_pairs!$B$2:$B$201,"noun_class_agreement",minimal_pairs!$I$2:$I$201,"FIXED")</f>
        <v>0</v>
      </c>
      <c r="F2" s="8" t="n">
        <f aca="false">COUNTIFS(minimal_pairs!$B$2:$B$201,"noun_class_agreement",minimal_pairs!$I$2:$I$201,"DROP")</f>
        <v>0</v>
      </c>
      <c r="G2" s="8" t="n">
        <f aca="false">D2+E2</f>
        <v>0</v>
      </c>
    </row>
    <row r="3" customFormat="false" ht="15" hidden="false" customHeight="false" outlineLevel="0" collapsed="false">
      <c r="A3" s="8" t="s">
        <v>1273</v>
      </c>
      <c r="B3" s="8" t="n">
        <f aca="false">COUNTIFS(minimal_pairs!$B$2:$B$201,"subject_object_marker")</f>
        <v>50</v>
      </c>
      <c r="C3" s="8" t="n">
        <f aca="false">COUNTIFS(minimal_pairs!$B$2:$B$201,"subject_object_marker",minimal_pairs!$I$2:$I$201,"TODO")</f>
        <v>50</v>
      </c>
      <c r="D3" s="8" t="n">
        <f aca="false">COUNTIFS(minimal_pairs!$B$2:$B$201,"subject_object_marker",minimal_pairs!$I$2:$I$201,"OK")</f>
        <v>0</v>
      </c>
      <c r="E3" s="8" t="n">
        <f aca="false">COUNTIFS(minimal_pairs!$B$2:$B$201,"subject_object_marker",minimal_pairs!$I$2:$I$201,"FIXED")</f>
        <v>0</v>
      </c>
      <c r="F3" s="8" t="n">
        <f aca="false">COUNTIFS(minimal_pairs!$B$2:$B$201,"subject_object_marker",minimal_pairs!$I$2:$I$201,"DROP")</f>
        <v>0</v>
      </c>
      <c r="G3" s="8" t="n">
        <f aca="false">D3+E3</f>
        <v>0</v>
      </c>
    </row>
    <row r="4" customFormat="false" ht="15" hidden="false" customHeight="false" outlineLevel="0" collapsed="false">
      <c r="A4" s="8" t="s">
        <v>1274</v>
      </c>
      <c r="B4" s="8" t="n">
        <f aca="false">COUNTIFS(minimal_pairs!$B$2:$B$201,"tense_aspect")</f>
        <v>50</v>
      </c>
      <c r="C4" s="8" t="n">
        <f aca="false">COUNTIFS(minimal_pairs!$B$2:$B$201,"tense_aspect",minimal_pairs!$I$2:$I$201,"TODO")</f>
        <v>50</v>
      </c>
      <c r="D4" s="8" t="n">
        <f aca="false">COUNTIFS(minimal_pairs!$B$2:$B$201,"tense_aspect",minimal_pairs!$I$2:$I$201,"OK")</f>
        <v>0</v>
      </c>
      <c r="E4" s="8" t="n">
        <f aca="false">COUNTIFS(minimal_pairs!$B$2:$B$201,"tense_aspect",minimal_pairs!$I$2:$I$201,"FIXED")</f>
        <v>0</v>
      </c>
      <c r="F4" s="8" t="n">
        <f aca="false">COUNTIFS(minimal_pairs!$B$2:$B$201,"tense_aspect",minimal_pairs!$I$2:$I$201,"DROP")</f>
        <v>0</v>
      </c>
      <c r="G4" s="8" t="n">
        <f aca="false">D4+E4</f>
        <v>0</v>
      </c>
    </row>
    <row r="5" customFormat="false" ht="15" hidden="false" customHeight="false" outlineLevel="0" collapsed="false">
      <c r="A5" s="8" t="s">
        <v>1275</v>
      </c>
      <c r="B5" s="8" t="n">
        <f aca="false">COUNTIFS(minimal_pairs!$B$2:$B$201,"negation")</f>
        <v>50</v>
      </c>
      <c r="C5" s="8" t="n">
        <f aca="false">COUNTIFS(minimal_pairs!$B$2:$B$201,"negation",minimal_pairs!$I$2:$I$201,"TODO")</f>
        <v>50</v>
      </c>
      <c r="D5" s="8" t="n">
        <f aca="false">COUNTIFS(minimal_pairs!$B$2:$B$201,"negation",minimal_pairs!$I$2:$I$201,"OK")</f>
        <v>0</v>
      </c>
      <c r="E5" s="8" t="n">
        <f aca="false">COUNTIFS(minimal_pairs!$B$2:$B$201,"negation",minimal_pairs!$I$2:$I$201,"FIXED")</f>
        <v>0</v>
      </c>
      <c r="F5" s="8" t="n">
        <f aca="false">COUNTIFS(minimal_pairs!$B$2:$B$201,"negation",minimal_pairs!$I$2:$I$201,"DROP")</f>
        <v>0</v>
      </c>
      <c r="G5" s="8" t="n">
        <f aca="false">D5+E5</f>
        <v>0</v>
      </c>
    </row>
    <row r="6" customFormat="false" ht="15" hidden="false" customHeight="false" outlineLevel="0" collapsed="false">
      <c r="A6" s="8" t="s">
        <v>1276</v>
      </c>
      <c r="B6" s="8" t="n">
        <f aca="false">COUNTA(paragraphs!$A$2:$A$31)</f>
        <v>30</v>
      </c>
      <c r="C6" s="8" t="n">
        <f aca="false">COUNTIF(paragraphs!$I$2:$I$31,"TODO")</f>
        <v>30</v>
      </c>
      <c r="D6" s="8" t="n">
        <f aca="false">COUNTIF(paragraphs!$I$2:$I$31,"OK")</f>
        <v>0</v>
      </c>
      <c r="E6" s="8" t="n">
        <f aca="false">COUNTIF(paragraphs!$I$2:$I$31,"FIXED")</f>
        <v>0</v>
      </c>
      <c r="F6" s="8" t="n">
        <f aca="false">COUNTIF(paragraphs!$I$2:$I$31,"DROP")</f>
        <v>0</v>
      </c>
      <c r="G6" s="8" t="n">
        <f aca="false">D6+E6</f>
        <v>0</v>
      </c>
    </row>
    <row r="7" customFormat="false" ht="15" hidden="false" customHeight="false" outlineLevel="0" collapsed="false">
      <c r="A7" s="8" t="s">
        <v>1277</v>
      </c>
      <c r="B7" s="8" t="n">
        <f aca="false">COUNTA(variation!$A$2:$A$21)</f>
        <v>20</v>
      </c>
      <c r="C7" s="8" t="n">
        <f aca="false">COUNTIF(variation!$H$2:$H$21,"TODO")</f>
        <v>20</v>
      </c>
      <c r="D7" s="8" t="n">
        <f aca="false">COUNTIF(variation!$H$2:$H$21,"OK")</f>
        <v>0</v>
      </c>
      <c r="E7" s="8" t="n">
        <f aca="false">COUNTIF(variation!$H$2:$H$21,"FIXED")</f>
        <v>0</v>
      </c>
      <c r="F7" s="8" t="n">
        <f aca="false">COUNTIF(variation!$H$2:$H$21,"DROP")</f>
        <v>0</v>
      </c>
      <c r="G7" s="8" t="n">
        <f aca="false">D7+E7</f>
        <v>0</v>
      </c>
    </row>
    <row r="8" customFormat="false" ht="15" hidden="false" customHeight="false" outlineLevel="0" collapsed="false">
      <c r="A8" s="9" t="s">
        <v>1278</v>
      </c>
      <c r="B8" s="9" t="n">
        <f aca="false">SUM(B2:B7)</f>
        <v>250</v>
      </c>
      <c r="C8" s="9" t="n">
        <f aca="false">SUM(C2:C7)</f>
        <v>250</v>
      </c>
      <c r="D8" s="9" t="n">
        <f aca="false">SUM(D2:D7)</f>
        <v>0</v>
      </c>
      <c r="E8" s="9" t="n">
        <f aca="false">SUM(E2:E7)</f>
        <v>0</v>
      </c>
      <c r="F8" s="9" t="n">
        <f aca="false">SUM(F2:F7)</f>
        <v>0</v>
      </c>
      <c r="G8" s="9" t="n">
        <f aca="false">SUM(G2:G7)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2026-10-15T20:17:01Z</dcterms:created>
  <dc:creator>openpyxl</dc:creator>
  <dc:description/>
  <dc:language>en-US</dc:language>
  <cp:lastModifiedBy/>
  <dcterms:modified xsi:type="dcterms:W3CDTF">2026-10-15T20:17:01Z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